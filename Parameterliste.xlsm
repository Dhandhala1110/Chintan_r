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DieseArbeitsmapp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ulian\Documents\Studium\Semester_7\BPP\Git\Blasformen_Wissensspeicher\"/>
    </mc:Choice>
  </mc:AlternateContent>
  <xr:revisionPtr revIDLastSave="0" documentId="13_ncr:1_{5AC47619-38A3-40EF-99AF-29DF4E997C10}" xr6:coauthVersionLast="47" xr6:coauthVersionMax="47" xr10:uidLastSave="{00000000-0000-0000-0000-000000000000}"/>
  <bookViews>
    <workbookView xWindow="28680" yWindow="-120" windowWidth="29040" windowHeight="15840" activeTab="2" xr2:uid="{2191D1F2-2827-49C5-A98F-4A8B2C61D050}"/>
  </bookViews>
  <sheets>
    <sheet name="Parameterübersicht" sheetId="1" r:id="rId1"/>
    <sheet name="Fehler Vorformling" sheetId="15" r:id="rId2"/>
    <sheet name="Fehler Blasformteil" sheetId="14" r:id="rId3"/>
    <sheet name="Fehler" sheetId="13" r:id="rId4"/>
    <sheet name="Parameterzustände" sheetId="12" r:id="rId5"/>
    <sheet name="Maschinenparameter" sheetId="10" r:id="rId6"/>
    <sheet name="Manuelle Inputs" sheetId="1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15" l="1"/>
  <c r="I12" i="15"/>
  <c r="I15" i="15"/>
  <c r="I23" i="15"/>
  <c r="I24" i="15"/>
  <c r="I25" i="15"/>
  <c r="I26" i="15"/>
  <c r="I39" i="15"/>
  <c r="I40" i="15"/>
  <c r="I41" i="15"/>
  <c r="I42" i="15"/>
  <c r="I43" i="15"/>
  <c r="I44" i="15"/>
  <c r="I45" i="15"/>
  <c r="I46" i="15"/>
  <c r="I47" i="15"/>
  <c r="I3" i="1"/>
  <c r="J3" i="1"/>
  <c r="K3" i="1"/>
  <c r="L3" i="1"/>
  <c r="M3" i="1"/>
  <c r="N3" i="1"/>
  <c r="O3" i="1"/>
  <c r="P3" i="1"/>
  <c r="Q3" i="1"/>
  <c r="R3" i="1"/>
  <c r="S3" i="1"/>
  <c r="T3" i="1"/>
  <c r="U3" i="1"/>
  <c r="H3" i="1"/>
  <c r="G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tc={3862A687-E371-4BB0-B7BB-8259E43062CA}</author>
  </authors>
  <commentList>
    <comment ref="A1" authorId="0" shapeId="0" xr:uid="{3862A687-E371-4BB0-B7BB-8259E43062C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Beudetung der Buchstaben:
- x: besitzt eine Kante zum Fehler
- s: besitzt keine Knate zum Fehler, wird jededoch für einen anderen Knoten im Netz benötigt
Antwort:
    Mit ROT sind Knoten markiert die auch im Vorformling vorkommen</t>
      </text>
    </comment>
  </commentList>
</comments>
</file>

<file path=xl/sharedStrings.xml><?xml version="1.0" encoding="utf-8"?>
<sst xmlns="http://schemas.openxmlformats.org/spreadsheetml/2006/main" count="1772" uniqueCount="437">
  <si>
    <t>Einflussparameter</t>
  </si>
  <si>
    <t>Parameter</t>
  </si>
  <si>
    <t>Verbrannter Rohstoff auf Düsenoberfläche</t>
  </si>
  <si>
    <t>Verunreinigung des Rohstoffes</t>
  </si>
  <si>
    <t>Düsentemperatur</t>
  </si>
  <si>
    <t>Beschädigung Düse</t>
  </si>
  <si>
    <t>Erhebung</t>
  </si>
  <si>
    <t>visuell</t>
  </si>
  <si>
    <t>messbar</t>
  </si>
  <si>
    <t>Kommentar</t>
  </si>
  <si>
    <t>Kratzer</t>
  </si>
  <si>
    <t>Name in Bayes-Netz</t>
  </si>
  <si>
    <t>Schmelzbruch</t>
  </si>
  <si>
    <t>Materialfeuchtigkeit</t>
  </si>
  <si>
    <t>Regeneratanteil</t>
  </si>
  <si>
    <t>Ausstoßdruck</t>
  </si>
  <si>
    <t>Außentemperatur Düse und Kopf</t>
  </si>
  <si>
    <t>Massedruck</t>
  </si>
  <si>
    <t>Schlierenbildung</t>
  </si>
  <si>
    <t>Kopfheizung</t>
  </si>
  <si>
    <t>Heizungssteuerung</t>
  </si>
  <si>
    <t>Extruderdruck &amp; Durchsatz</t>
  </si>
  <si>
    <t>Extruderdrehzahl</t>
  </si>
  <si>
    <t>x</t>
  </si>
  <si>
    <t>Blasenbildung</t>
  </si>
  <si>
    <t>Düsen-Kernkombination</t>
  </si>
  <si>
    <t>Temperatur Extrudereinfüllzone</t>
  </si>
  <si>
    <t>Rohstofftemeperatur</t>
  </si>
  <si>
    <t>Einzugszone auf Beschädigung überprüfen</t>
  </si>
  <si>
    <t>WDS Kurve</t>
  </si>
  <si>
    <t>Düsensonderposition</t>
  </si>
  <si>
    <t>nur bei diskontinuierlichem Lauf</t>
  </si>
  <si>
    <t>Dichtigkeit WBK</t>
  </si>
  <si>
    <t>Dichtigkeit AKKU</t>
  </si>
  <si>
    <t>Gardineneffekt</t>
  </si>
  <si>
    <t>Ausstoßgeschwindigkeit</t>
  </si>
  <si>
    <t>Artikelgewicht</t>
  </si>
  <si>
    <t>Temperaturen</t>
  </si>
  <si>
    <t>Anströmwinkel des Kerns</t>
  </si>
  <si>
    <t>Taktzeit</t>
  </si>
  <si>
    <t>Schlauchkrempeln</t>
  </si>
  <si>
    <t>Gegendruck Akku</t>
  </si>
  <si>
    <t>WDS Kurve Anfang Ende</t>
  </si>
  <si>
    <t>Zentrierung Düse</t>
  </si>
  <si>
    <t>Kontamination Kopf</t>
  </si>
  <si>
    <t>Darmeffekt</t>
  </si>
  <si>
    <t>Kontamination Düse</t>
  </si>
  <si>
    <t>Wert</t>
  </si>
  <si>
    <t>Ja / Nein</t>
  </si>
  <si>
    <t>numerischer Wert</t>
  </si>
  <si>
    <t>i.O. / n.i.O.</t>
  </si>
  <si>
    <t>Brückenbildung am Trichter</t>
  </si>
  <si>
    <t>Temperatur Extrudereinzugszone</t>
  </si>
  <si>
    <t>Drosselventile</t>
  </si>
  <si>
    <t>Vorkommnisse bei Vorformling</t>
  </si>
  <si>
    <t>BeschaedigungDuese</t>
  </si>
  <si>
    <t>Ausstossdruck</t>
  </si>
  <si>
    <t>Duesenkernkombination</t>
  </si>
  <si>
    <t>Temp_Extrudereinfuellzone</t>
  </si>
  <si>
    <t>Temp_Rohstoff</t>
  </si>
  <si>
    <t>EinzugszoneBeschaedigt</t>
  </si>
  <si>
    <t>VerbrannteRohstoffeDuesenoberflaeche</t>
  </si>
  <si>
    <t>VerunreinigungRohstoff</t>
  </si>
  <si>
    <t>Temp_Duese</t>
  </si>
  <si>
    <t>ExtruderdruckDurchsatz</t>
  </si>
  <si>
    <t>RauchQualm</t>
  </si>
  <si>
    <t>DichtigkeitWBK</t>
  </si>
  <si>
    <t>DichtigkeitAKKUZyl</t>
  </si>
  <si>
    <t>Temp_AussenDueseKopf</t>
  </si>
  <si>
    <t>WDSKurve</t>
  </si>
  <si>
    <t>Kontamination</t>
  </si>
  <si>
    <t>WDSKurveAuE</t>
  </si>
  <si>
    <t>ZentrierungDuese</t>
  </si>
  <si>
    <t>Leck Stüzluft am Kopf</t>
  </si>
  <si>
    <t>Temp_Extrudereinzugszone</t>
  </si>
  <si>
    <t>Regeneratqualität</t>
  </si>
  <si>
    <t>Regeneratqualitaet</t>
  </si>
  <si>
    <t>BrueckeTrichter</t>
  </si>
  <si>
    <t>DuesenwerkzeugNullen</t>
  </si>
  <si>
    <t>Düsenwerkzeug auf null stellen</t>
  </si>
  <si>
    <t>WBK Kurve automatisch anpassen</t>
  </si>
  <si>
    <t>WBK manuell anpassen</t>
  </si>
  <si>
    <t>WBKmanuell</t>
  </si>
  <si>
    <t>Kontamination Extruder</t>
  </si>
  <si>
    <t>Extrudertemperatur</t>
  </si>
  <si>
    <t>KontaminationKopf</t>
  </si>
  <si>
    <t>KontaminationExtruder</t>
  </si>
  <si>
    <t>Temp_Extruder</t>
  </si>
  <si>
    <t>KontaminationDuese</t>
  </si>
  <si>
    <t>Ausstossgeschwindigkeit</t>
  </si>
  <si>
    <t>GegendruckAkku</t>
  </si>
  <si>
    <t>AnstroemwinkelKern</t>
  </si>
  <si>
    <t>Zu fein, zu grob?</t>
  </si>
  <si>
    <t>Übersicht über Maschinenparameter</t>
  </si>
  <si>
    <t>Bezeichnung</t>
  </si>
  <si>
    <t>Name in Steuerung</t>
  </si>
  <si>
    <t>Thermisch ja/nein</t>
  </si>
  <si>
    <t>ja</t>
  </si>
  <si>
    <t>nein</t>
  </si>
  <si>
    <t>Kann das an der Steuerung eingestellt werden</t>
  </si>
  <si>
    <t>Wie beurteilt man hier den Zustand</t>
  </si>
  <si>
    <t>genauer spezifizieren</t>
  </si>
  <si>
    <t>Übersicht über manuelle Inputs</t>
  </si>
  <si>
    <t>Art</t>
  </si>
  <si>
    <t>Zustand</t>
  </si>
  <si>
    <t>vorhanden / nicht vorhanden</t>
  </si>
  <si>
    <t>ja / nein</t>
  </si>
  <si>
    <t>trocken / zu nass;
i.O. / n.i.O.</t>
  </si>
  <si>
    <t>Mit Hand feststellen</t>
  </si>
  <si>
    <t>Muss Düse immer ausgetasucht werden?</t>
  </si>
  <si>
    <t>Oder überprüft man, ob Magnet vorhanden ist</t>
  </si>
  <si>
    <t>Was genau ist die Heizungssteuerung? Es hies man kann sie neustarten und Selbstlernen</t>
  </si>
  <si>
    <t>stellt man manuell ein</t>
  </si>
  <si>
    <t>messbar händisch</t>
  </si>
  <si>
    <t>Numerischer Wert;
zu kalt / zu warm</t>
  </si>
  <si>
    <t>Am Trockner feststellen, ablesen</t>
  </si>
  <si>
    <t>Kann man hier einen Tipp geben, abflachen oder was soll gemacht werden</t>
  </si>
  <si>
    <t>zu steil / zu flach</t>
  </si>
  <si>
    <t>Oder arbeitet man hier mit numerischen Werten</t>
  </si>
  <si>
    <t>Numerischer Wert; Zu leicht / i.O. / zu schwer</t>
  </si>
  <si>
    <t>Mit der Hand feststellen/ wiegen</t>
  </si>
  <si>
    <t>Was soll hier gemacht werden</t>
  </si>
  <si>
    <t>genauer definieren, wo ist kontiminiert; Fehler "Schlauchkrempeln"</t>
  </si>
  <si>
    <t>visuell feststellen</t>
  </si>
  <si>
    <t>Was ist der Unterschied zu, VerbranterRohstoff auf Düsenoberfläche</t>
  </si>
  <si>
    <t>nur bei diskontinuierlichem Lauf?</t>
  </si>
  <si>
    <t>manuell nachstellen?</t>
  </si>
  <si>
    <t>Was der Unterschied zu WDS</t>
  </si>
  <si>
    <t>Datum</t>
  </si>
  <si>
    <t>Numerischer Temperaturwert</t>
  </si>
  <si>
    <t>Prozentsatz</t>
  </si>
  <si>
    <t>Direkt / Indirekt Veränderbar</t>
  </si>
  <si>
    <t>Produktab-hänigkeit</t>
  </si>
  <si>
    <t>Eindeutiger Identifier</t>
  </si>
  <si>
    <t>direkt</t>
  </si>
  <si>
    <t>Heizung 14 Kopf Düse</t>
  </si>
  <si>
    <t>Heizungen 13 14, 12</t>
  </si>
  <si>
    <t>Heizungen 10-13</t>
  </si>
  <si>
    <t>Heizung 1</t>
  </si>
  <si>
    <t>Heizungen 1,2</t>
  </si>
  <si>
    <t>Heizungen 1-4</t>
  </si>
  <si>
    <t>Bekommt man nicht angezeigt</t>
  </si>
  <si>
    <t>Drehzahl sollwert 1</t>
  </si>
  <si>
    <t>Nur bei diskontinuierlichem Lauf</t>
  </si>
  <si>
    <t>VorformlingGlaenzend</t>
  </si>
  <si>
    <t>DurchhaengenDiskont</t>
  </si>
  <si>
    <t>DurchhaengenKont</t>
  </si>
  <si>
    <t>SchlauchlaufGeradeauslauf</t>
  </si>
  <si>
    <t>Schlauchlaengenschwankungen</t>
  </si>
  <si>
    <t>UntSchlauchlaengenMehrfachkoepfe</t>
  </si>
  <si>
    <t>MilichigKalterSchlauchWolken</t>
  </si>
  <si>
    <t>Zustand_default</t>
  </si>
  <si>
    <t>Zustand_2</t>
  </si>
  <si>
    <t>Ja</t>
  </si>
  <si>
    <t>Nein</t>
  </si>
  <si>
    <t>i.O.</t>
  </si>
  <si>
    <t>Zustand_3</t>
  </si>
  <si>
    <r>
      <t xml:space="preserve">Mit der Hand feststellen durch fühlen </t>
    </r>
    <r>
      <rPr>
        <sz val="11"/>
        <color rgb="FFFF0000"/>
        <rFont val="Calibri"/>
        <family val="2"/>
        <scheme val="minor"/>
      </rPr>
      <t>gibt es zu trocken überhaupt????</t>
    </r>
  </si>
  <si>
    <t>vergrößern</t>
  </si>
  <si>
    <t>verkleinern</t>
  </si>
  <si>
    <t>i.O./ vergrößern / verkleinern</t>
  </si>
  <si>
    <t>ja/ nein</t>
  </si>
  <si>
    <t>n.i.O.</t>
  </si>
  <si>
    <t>zusteil</t>
  </si>
  <si>
    <t>zuflach</t>
  </si>
  <si>
    <t>zufein</t>
  </si>
  <si>
    <t>zugrob</t>
  </si>
  <si>
    <t>i.O./ zufein/ zugrob</t>
  </si>
  <si>
    <t>zuleicht</t>
  </si>
  <si>
    <t>zuschwer</t>
  </si>
  <si>
    <t>zu nass</t>
  </si>
  <si>
    <t>zu trocken</t>
  </si>
  <si>
    <t>iO</t>
  </si>
  <si>
    <t>niO</t>
  </si>
  <si>
    <t>zu steil</t>
  </si>
  <si>
    <t>zu flach</t>
  </si>
  <si>
    <t>zu leicht</t>
  </si>
  <si>
    <t>zu schwer</t>
  </si>
  <si>
    <t>zu grob</t>
  </si>
  <si>
    <t>zu fein</t>
  </si>
  <si>
    <t>vergroesern</t>
  </si>
  <si>
    <t>zutrocken</t>
  </si>
  <si>
    <t>zunass</t>
  </si>
  <si>
    <t>Kommentar 1</t>
  </si>
  <si>
    <t>Maschinen abhängig ob in Steuerung vorhanden, bei C3 muss man händisch ablesen--&gt; als visuell markiert</t>
  </si>
  <si>
    <t>zu wenig</t>
  </si>
  <si>
    <t>zu viel</t>
  </si>
  <si>
    <t>zuwenig</t>
  </si>
  <si>
    <t>zuviel</t>
  </si>
  <si>
    <t>zu kalt</t>
  </si>
  <si>
    <t>zu warm</t>
  </si>
  <si>
    <t>zuwarm</t>
  </si>
  <si>
    <t>zukalt</t>
  </si>
  <si>
    <t>Bearbeitungsstand</t>
  </si>
  <si>
    <t>abgeschlossen</t>
  </si>
  <si>
    <t>offen</t>
  </si>
  <si>
    <t>Heizung 14 Kopf Düse, muss in BayesNetz eingepflegt werden</t>
  </si>
  <si>
    <t>i.O. / zu nass/ zu trocken</t>
  </si>
  <si>
    <t>Heizung 1-4 Extr. Rohr 1-4, Maschine C3, muss in BayesNetz eingepflegt werden</t>
  </si>
  <si>
    <t xml:space="preserve">Mischer-Parameter, sind die Zustände aussagekräftig genug? Benötigt man Zahlenwerte, Produktabhänigkeit? </t>
  </si>
  <si>
    <r>
      <t xml:space="preserve">numerischer Wert </t>
    </r>
    <r>
      <rPr>
        <sz val="11"/>
        <rFont val="Calibri"/>
        <family val="2"/>
        <scheme val="minor"/>
      </rPr>
      <t>oder i.O. / zu viel/ zu wenig</t>
    </r>
  </si>
  <si>
    <t>Massedruck, nicht in Steuerung ablesbar</t>
  </si>
  <si>
    <t>Heizungen 12, 13, 14, muss in BayesNetz eingepflegt werden</t>
  </si>
  <si>
    <t>Heizungen 10-13, muss in BayesNetz eingepflegt werden</t>
  </si>
  <si>
    <r>
      <t xml:space="preserve">Hat Auswirkung auf die Temperatur aber keine direkte Kante auf den Fehler, wie im BayesNetz einbinden? </t>
    </r>
    <r>
      <rPr>
        <sz val="11"/>
        <color rgb="FFFF0000"/>
        <rFont val="Calibri"/>
        <family val="2"/>
        <scheme val="minor"/>
      </rPr>
      <t>Maschinenparameter?</t>
    </r>
  </si>
  <si>
    <r>
      <t xml:space="preserve">Gibt es nicht als Maschinenparameter, </t>
    </r>
    <r>
      <rPr>
        <sz val="11"/>
        <color rgb="FFFF0000"/>
        <rFont val="Calibri"/>
        <family val="2"/>
        <scheme val="minor"/>
      </rPr>
      <t>aus BayesNetz herausnehmen?</t>
    </r>
  </si>
  <si>
    <t>Drehzahl Sollwert</t>
  </si>
  <si>
    <t>i.O. / vergrößern/ verkleinern</t>
  </si>
  <si>
    <t>Heizung 1, noch in BayesNetz einpflegen</t>
  </si>
  <si>
    <t>am Trockner abzulesen, wird nicht in Steuerung gespeichert, welche Zustände soll es geben? Beurteilung zu warm zu kalt, kann ja nur der Wissensspeicher machen</t>
  </si>
  <si>
    <t>i.O. / zu steil/ zu flach</t>
  </si>
  <si>
    <r>
      <rPr>
        <sz val="11"/>
        <color rgb="FFFF0000"/>
        <rFont val="Calibri"/>
        <family val="2"/>
        <scheme val="minor"/>
      </rPr>
      <t>numerischer Wert</t>
    </r>
    <r>
      <rPr>
        <sz val="11"/>
        <color theme="1"/>
        <rFont val="Calibri"/>
        <family val="2"/>
        <scheme val="minor"/>
      </rPr>
      <t xml:space="preserve"> oder i.O./ zu warm/ zu kalt</t>
    </r>
  </si>
  <si>
    <t>Muss mit der Hand erfasst/ gewogen werden</t>
  </si>
  <si>
    <t>Laut Hr. Kolke alle</t>
  </si>
  <si>
    <t>Laut Herr Kolke alle Heizzonen</t>
  </si>
  <si>
    <t>Setz sich zusammen aus Programmzeit und Blaszeit</t>
  </si>
  <si>
    <t>Setz sich aus Programmzeit und Blaszeit zusammen</t>
  </si>
  <si>
    <t>i.O./ n.i.O.</t>
  </si>
  <si>
    <t>Heizungen 1 und 2, muss noch in BayesNetz eingepflegt werden</t>
  </si>
  <si>
    <t>i.O. / zu fein/ zu grob</t>
  </si>
  <si>
    <t>Kann das ein Bediener richtig beurteilen?</t>
  </si>
  <si>
    <t>Maschinenparameter? Oder doch auch visuell und muss vom Bediener beurteilt werden</t>
  </si>
  <si>
    <t>Mit der Hand feststellen</t>
  </si>
  <si>
    <r>
      <rPr>
        <sz val="11"/>
        <color rgb="FFFF0000"/>
        <rFont val="Calibri"/>
        <family val="2"/>
        <scheme val="minor"/>
      </rPr>
      <t xml:space="preserve">numerischer Wert </t>
    </r>
    <r>
      <rPr>
        <sz val="11"/>
        <rFont val="Calibri"/>
        <family val="2"/>
        <scheme val="minor"/>
      </rPr>
      <t xml:space="preserve">oder </t>
    </r>
    <r>
      <rPr>
        <sz val="11"/>
        <color rgb="FF00B050"/>
        <rFont val="Calibri"/>
        <family val="2"/>
        <scheme val="minor"/>
      </rPr>
      <t>i.O./ zu leicht/ zu schwer</t>
    </r>
  </si>
  <si>
    <t>Heizzone 1 Extr. 1 Rohr 1</t>
  </si>
  <si>
    <t>Heizzone 3 Extr. 1 Rohr 3</t>
  </si>
  <si>
    <t>Heizzone 4 Extr. 1 Rohr 4</t>
  </si>
  <si>
    <t>Heizzone 2 Extr. 1 Rohr 2</t>
  </si>
  <si>
    <t>Heizzone 5 Extruder Flansch</t>
  </si>
  <si>
    <t>Heizzone 6 Akku rechts</t>
  </si>
  <si>
    <t>Heizzone 7 Akku links</t>
  </si>
  <si>
    <t>Heizzone 8 Akku Flansch</t>
  </si>
  <si>
    <t>Heizzone 9 Akku</t>
  </si>
  <si>
    <t>Heizzone 10 Kopf</t>
  </si>
  <si>
    <t>Heizzone 11 Kopf</t>
  </si>
  <si>
    <t>Heizzone 12 Kopf</t>
  </si>
  <si>
    <t>Heizzone 13 Kopf</t>
  </si>
  <si>
    <t>Heizzone 14 Düse</t>
  </si>
  <si>
    <t>Status</t>
  </si>
  <si>
    <t>Datenbausteinadresse</t>
  </si>
  <si>
    <t>Nicht aus der Steuerung ablesbar?</t>
  </si>
  <si>
    <t>Vorformling glänzend durchsichtig</t>
  </si>
  <si>
    <t>Rauch und Qualm Bildung</t>
  </si>
  <si>
    <t>Durchhängen Kontinuierlich</t>
  </si>
  <si>
    <t>Durchhängen Diskontinuierlich</t>
  </si>
  <si>
    <t>Schlauchlauf Geradeauslauf</t>
  </si>
  <si>
    <t>Schlauchlängenschwankungen</t>
  </si>
  <si>
    <t>Unterschiedliche Schlauchlängen bei Mehrfachköpfen</t>
  </si>
  <si>
    <t>Michlig kalter Schlauch/ Wolkenbildung</t>
  </si>
  <si>
    <t>Knoten</t>
  </si>
  <si>
    <t>Butzenkammervolumen</t>
  </si>
  <si>
    <t>Extrusionsdruck</t>
  </si>
  <si>
    <t>Vorblaszeit</t>
  </si>
  <si>
    <t>Vorblasdruck</t>
  </si>
  <si>
    <t>Schlauchquetsche Zeit</t>
  </si>
  <si>
    <t>Rohstofftemperatur</t>
  </si>
  <si>
    <t>Artikelwanddicke</t>
  </si>
  <si>
    <t>Blasdruck</t>
  </si>
  <si>
    <t>Schmelztemperatur</t>
  </si>
  <si>
    <t>s</t>
  </si>
  <si>
    <t>Blaszeit</t>
  </si>
  <si>
    <t>Sandstrahlung der Form</t>
  </si>
  <si>
    <t>Standzeit</t>
  </si>
  <si>
    <t>Hub der Schlauchquetsche</t>
  </si>
  <si>
    <t>Orangenhaut</t>
  </si>
  <si>
    <t>Auswerfzeit</t>
  </si>
  <si>
    <t>Zykluszeit</t>
  </si>
  <si>
    <t>Form Kopfwerkzeug ovalisieren</t>
  </si>
  <si>
    <t>Durchgang Blasdorn</t>
  </si>
  <si>
    <t>Blasdorneinfahrgeschwindigkeit</t>
  </si>
  <si>
    <t>Blasdorneinschub</t>
  </si>
  <si>
    <t>Blasen</t>
  </si>
  <si>
    <t>Konturversatz</t>
  </si>
  <si>
    <t>Formaufspannung</t>
  </si>
  <si>
    <t>Elternknoten1</t>
  </si>
  <si>
    <t>Elternknoten2</t>
  </si>
  <si>
    <t>Duesentemperatur</t>
  </si>
  <si>
    <t>Zentrierung Duese</t>
  </si>
  <si>
    <t>Spuelluft</t>
  </si>
  <si>
    <t>Werkezugentlueftung</t>
  </si>
  <si>
    <t>Entlueftungszeit</t>
  </si>
  <si>
    <t>Stuetzluft</t>
  </si>
  <si>
    <t>Pruefung Enformungselemente</t>
  </si>
  <si>
    <t>Funktion der uebernahme Stanze</t>
  </si>
  <si>
    <t>Pruefung Entlueftungsventil</t>
  </si>
  <si>
    <t>Pruefung Spuelluftbohrung</t>
  </si>
  <si>
    <t>Pruefung Butzenkammer Werkezug</t>
  </si>
  <si>
    <t>Form Entlueftung</t>
  </si>
  <si>
    <t>Geometrie Duesenwerkzeug</t>
  </si>
  <si>
    <t>Ergaenzung Entformungshilfe</t>
  </si>
  <si>
    <t>Beschaedigung Form</t>
  </si>
  <si>
    <t>Beschaedigung Form (Schneidkanten)</t>
  </si>
  <si>
    <t>Schneidkantenschaerfe</t>
  </si>
  <si>
    <t>Formoberflaeche Feuchtigkeit</t>
  </si>
  <si>
    <t>Pruefung Kuehlkanaele</t>
  </si>
  <si>
    <t>Beschaedigung Duese</t>
  </si>
  <si>
    <t>Formsversaeulung</t>
  </si>
  <si>
    <t>Formtrennflaechen (Sauberkeit)</t>
  </si>
  <si>
    <t>Weissbruch</t>
  </si>
  <si>
    <t>Duesenwerkzeuggroesse</t>
  </si>
  <si>
    <t>Formschliessgeschwindigkeit</t>
  </si>
  <si>
    <t>Schliessdruck</t>
  </si>
  <si>
    <t>Duesen-Kernkombination</t>
  </si>
  <si>
    <t>Temperatur Extrudereinfuellzone</t>
  </si>
  <si>
    <t>Kontamination Duese</t>
  </si>
  <si>
    <t>Brueckenbildung am Trichter</t>
  </si>
  <si>
    <t>Duesenwerkzeug auf null stellen</t>
  </si>
  <si>
    <t>Verbrannter Rohstoff auf Duesenoberflaeche</t>
  </si>
  <si>
    <t>Einzugszone auf Beschaedigung ueberpruefen</t>
  </si>
  <si>
    <t>Anstroemwinkel des Kerns</t>
  </si>
  <si>
    <t>Aussentemperatur Duese und Kopf</t>
  </si>
  <si>
    <t>Netzname</t>
  </si>
  <si>
    <t>Temp_Schmelze</t>
  </si>
  <si>
    <t>Temp_Kopf</t>
  </si>
  <si>
    <t>Heizzone1</t>
  </si>
  <si>
    <t>Heizzone2</t>
  </si>
  <si>
    <t>Heizzone3</t>
  </si>
  <si>
    <t>Heizzone4</t>
  </si>
  <si>
    <t>Heizzone10</t>
  </si>
  <si>
    <t>Heizzone11</t>
  </si>
  <si>
    <t>Heizzone12</t>
  </si>
  <si>
    <t>Heizzone13</t>
  </si>
  <si>
    <t>Heizzone14</t>
  </si>
  <si>
    <t>Elternknoten3</t>
  </si>
  <si>
    <t>Elternknoten4</t>
  </si>
  <si>
    <t>Elternknoten5</t>
  </si>
  <si>
    <t>WDS Kurve zu steil</t>
  </si>
  <si>
    <t>WDS zu duenn</t>
  </si>
  <si>
    <t>WDS Kurve zu dünn</t>
  </si>
  <si>
    <t>in SAMIAM anpassen</t>
  </si>
  <si>
    <t>Temperatur Duese Kopf</t>
  </si>
  <si>
    <t>VerbrRohstoffDuese</t>
  </si>
  <si>
    <t>VerunreinRohstoff</t>
  </si>
  <si>
    <t>TempDuese</t>
  </si>
  <si>
    <t>MatFeuchtigkeit</t>
  </si>
  <si>
    <t>RegeneratAnteil</t>
  </si>
  <si>
    <t>TempDueseKopfAussen</t>
  </si>
  <si>
    <t>TempKopf</t>
  </si>
  <si>
    <t>ExtruderRPM</t>
  </si>
  <si>
    <t>TempExtrudereinfuellzone</t>
  </si>
  <si>
    <t>Erfassung</t>
  </si>
  <si>
    <t>manuell</t>
  </si>
  <si>
    <t>automatisch</t>
  </si>
  <si>
    <t>mittel</t>
  </si>
  <si>
    <t>niedrig</t>
  </si>
  <si>
    <t>hoch</t>
  </si>
  <si>
    <t>BeschaedigungEinzungzone</t>
  </si>
  <si>
    <t>WDSSpruenge</t>
  </si>
  <si>
    <t>TempRohstoff</t>
  </si>
  <si>
    <t>Extruderdruck</t>
  </si>
  <si>
    <t>DuesenKernkombination</t>
  </si>
  <si>
    <t>WDSzuDuenn</t>
  </si>
  <si>
    <t>WDSAnfangEnde</t>
  </si>
  <si>
    <t>DichtigkeitAKKU</t>
  </si>
  <si>
    <t>TempDueseKopf</t>
  </si>
  <si>
    <t>Ausstossgeschw</t>
  </si>
  <si>
    <t>GegendruckAKKU</t>
  </si>
  <si>
    <t>TempExtrudereinzug</t>
  </si>
  <si>
    <t>Drosselventil</t>
  </si>
  <si>
    <t>DuesenwerkzugAufNull</t>
  </si>
  <si>
    <t>WDSmanuell</t>
  </si>
  <si>
    <t>TempExtruder</t>
  </si>
  <si>
    <t>zuniedrig</t>
  </si>
  <si>
    <t>zuhoch</t>
  </si>
  <si>
    <t>Prob_default</t>
  </si>
  <si>
    <t>Prob_2</t>
  </si>
  <si>
    <t>Prob_3</t>
  </si>
  <si>
    <t>Schlauchquetsche</t>
  </si>
  <si>
    <t>Schlauchquetsche Funktion</t>
  </si>
  <si>
    <t>Werkzeugkuehlung</t>
  </si>
  <si>
    <t>Vorformling zu kurz</t>
  </si>
  <si>
    <t>Beschaedigung Form Butzenkammern</t>
  </si>
  <si>
    <t>Blasformteil Löscher</t>
  </si>
  <si>
    <t>Schlauchlaufrichtung</t>
  </si>
  <si>
    <t>Beschaedigung Kalibrierdorn</t>
  </si>
  <si>
    <t>Temperatur Trennmesser</t>
  </si>
  <si>
    <t>Kontamination Düesenwerkzeug</t>
  </si>
  <si>
    <t>Pruefung WDS</t>
  </si>
  <si>
    <t>Form Wasserleckagen</t>
  </si>
  <si>
    <t>Artikelwand</t>
  </si>
  <si>
    <t>Auswerferzeit</t>
  </si>
  <si>
    <t>BeschaedigungForm</t>
  </si>
  <si>
    <t>Beschaedigung Form (Tragbild)</t>
  </si>
  <si>
    <t>BeschaedigungSchneid</t>
  </si>
  <si>
    <t>BeschaedigungTragbild</t>
  </si>
  <si>
    <t>BeschaedigungVerschl</t>
  </si>
  <si>
    <t>BeschaedigungButzenk</t>
  </si>
  <si>
    <t>BeschaedigungKalibrdo</t>
  </si>
  <si>
    <t>BlasformteilLeckage</t>
  </si>
  <si>
    <t>Butzenkammervol</t>
  </si>
  <si>
    <t>Duesengroesse</t>
  </si>
  <si>
    <t>DurchgangBlasdorn</t>
  </si>
  <si>
    <t>FormEntlueftung</t>
  </si>
  <si>
    <t>FormWasserleckagen</t>
  </si>
  <si>
    <t>Entformungshilfe</t>
  </si>
  <si>
    <t>KopfwerkzOvalisieren</t>
  </si>
  <si>
    <t>FormoberflFeuchtigkeit</t>
  </si>
  <si>
    <t>Geschw_Blasdornein</t>
  </si>
  <si>
    <t>Geschw_Formschliess</t>
  </si>
  <si>
    <t>Formversaeulung</t>
  </si>
  <si>
    <t>Formtrennflaeche</t>
  </si>
  <si>
    <t>FunktionStanze</t>
  </si>
  <si>
    <t>Duesegeometrie</t>
  </si>
  <si>
    <t>SchlauchquetscheHub</t>
  </si>
  <si>
    <t>Entlueftungsventil</t>
  </si>
  <si>
    <t>Kuehlkanaele</t>
  </si>
  <si>
    <t>Kontamination_Duese</t>
  </si>
  <si>
    <t>Butzenkammer</t>
  </si>
  <si>
    <t>Entformungselemente</t>
  </si>
  <si>
    <t>Spuelluftbohrung</t>
  </si>
  <si>
    <t>WDS</t>
  </si>
  <si>
    <t>Form_Sandstrahlung</t>
  </si>
  <si>
    <t>SchlauchquetscheFunkt</t>
  </si>
  <si>
    <t>SchlauchquetscheZeit</t>
  </si>
  <si>
    <t>Temp_Trennmesser</t>
  </si>
  <si>
    <t>Vorformling_zukurz</t>
  </si>
  <si>
    <t>Werkzeugentlueftung</t>
  </si>
  <si>
    <t>ArtikelhaengtFrom</t>
  </si>
  <si>
    <t>DuennstellenFormtrennnaht</t>
  </si>
  <si>
    <t>SchlechteBodenschweissnaht</t>
  </si>
  <si>
    <t>DickeBodenschweissnaht</t>
  </si>
  <si>
    <t>starkerSchrumpf</t>
  </si>
  <si>
    <t>UneinheitlicheWanddickenverteilung</t>
  </si>
  <si>
    <t>SchlechteSchweissnahtbildung</t>
  </si>
  <si>
    <t>FaltenArtikel</t>
  </si>
  <si>
    <t>KlebestellenArtikel</t>
  </si>
  <si>
    <t>GratbildungFormtrennbereich</t>
  </si>
  <si>
    <t>langeZykluszeit</t>
  </si>
  <si>
    <t>Butzenabfall</t>
  </si>
  <si>
    <t>VerwerfungVerzugEinfallstellen</t>
  </si>
  <si>
    <t>Rohstofffeuchtigkeit</t>
  </si>
  <si>
    <t>Rohstoff Verschmutzung</t>
  </si>
  <si>
    <t>Abstand Duesenwerkzeug Formwerkzeug</t>
  </si>
  <si>
    <t>AbstandDueseForm</t>
  </si>
  <si>
    <t>Funktion Venturidüse</t>
  </si>
  <si>
    <t>FunktionVenturi</t>
  </si>
  <si>
    <t>Beschaedigung Form (Verschleiss)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</si>
</sst>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202124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BA1D0"/>
        <bgColor indexed="64"/>
      </patternFill>
    </fill>
    <fill>
      <patternFill patternType="solid">
        <fgColor theme="8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Border="1"/>
    <xf numFmtId="0" fontId="5" fillId="0" borderId="0" xfId="0" applyFont="1"/>
    <xf numFmtId="0" fontId="1" fillId="0" borderId="5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7" fillId="0" borderId="14" xfId="0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9" fillId="0" borderId="0" xfId="0" applyFont="1"/>
    <xf numFmtId="0" fontId="5" fillId="0" borderId="12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6" fillId="0" borderId="8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9" xfId="0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11" fillId="0" borderId="0" xfId="0" applyFont="1" applyBorder="1"/>
    <xf numFmtId="0" fontId="0" fillId="0" borderId="0" xfId="0" applyAlignment="1">
      <alignment wrapText="1"/>
    </xf>
    <xf numFmtId="0" fontId="10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0" fontId="0" fillId="0" borderId="0" xfId="0" applyAlignment="1"/>
    <xf numFmtId="0" fontId="11" fillId="0" borderId="0" xfId="0" applyFont="1"/>
    <xf numFmtId="0" fontId="0" fillId="0" borderId="0" xfId="0" applyBorder="1" applyAlignment="1"/>
    <xf numFmtId="0" fontId="0" fillId="0" borderId="0" xfId="0" applyFill="1" applyBorder="1" applyAlignment="1"/>
    <xf numFmtId="0" fontId="6" fillId="0" borderId="0" xfId="0" applyFont="1" applyBorder="1" applyAlignment="1">
      <alignment vertical="center" wrapText="1"/>
    </xf>
    <xf numFmtId="0" fontId="6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top" wrapText="1"/>
    </xf>
    <xf numFmtId="0" fontId="0" fillId="0" borderId="0" xfId="0" applyFill="1" applyBorder="1" applyAlignment="1">
      <alignment vertical="top" wrapText="1"/>
    </xf>
    <xf numFmtId="0" fontId="1" fillId="0" borderId="6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4" fillId="0" borderId="13" xfId="0" applyFont="1" applyBorder="1" applyAlignment="1">
      <alignment vertical="center" wrapText="1"/>
    </xf>
    <xf numFmtId="0" fontId="0" fillId="3" borderId="11" xfId="0" applyFill="1" applyBorder="1" applyAlignment="1">
      <alignment vertical="center"/>
    </xf>
    <xf numFmtId="0" fontId="0" fillId="0" borderId="12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3" xfId="0" applyFill="1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4" fillId="0" borderId="13" xfId="0" applyFont="1" applyBorder="1" applyAlignment="1">
      <alignment horizontal="left" vertical="center" wrapText="1"/>
    </xf>
    <xf numFmtId="0" fontId="4" fillId="0" borderId="17" xfId="0" applyFont="1" applyBorder="1" applyAlignment="1">
      <alignment vertical="center" wrapText="1"/>
    </xf>
    <xf numFmtId="0" fontId="0" fillId="0" borderId="0" xfId="0" applyFill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14" xfId="0" applyFill="1" applyBorder="1" applyAlignment="1">
      <alignment vertical="center"/>
    </xf>
    <xf numFmtId="0" fontId="7" fillId="0" borderId="0" xfId="0" applyFont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3" xfId="0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vertical="center" wrapText="1"/>
    </xf>
    <xf numFmtId="0" fontId="0" fillId="0" borderId="23" xfId="0" applyBorder="1" applyAlignment="1">
      <alignment horizontal="center" wrapText="1"/>
    </xf>
    <xf numFmtId="0" fontId="0" fillId="0" borderId="27" xfId="0" applyFill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6" fillId="0" borderId="32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6" fillId="0" borderId="31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Border="1" applyAlignment="1">
      <alignment wrapText="1"/>
    </xf>
    <xf numFmtId="0" fontId="0" fillId="0" borderId="0" xfId="0" applyBorder="1" applyAlignment="1">
      <alignment vertical="center" wrapText="1"/>
    </xf>
    <xf numFmtId="0" fontId="6" fillId="0" borderId="0" xfId="0" applyFont="1" applyBorder="1" applyAlignment="1">
      <alignment vertical="center"/>
    </xf>
    <xf numFmtId="0" fontId="0" fillId="0" borderId="30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4" fillId="0" borderId="23" xfId="0" applyFont="1" applyBorder="1" applyAlignment="1">
      <alignment vertical="center" wrapText="1"/>
    </xf>
    <xf numFmtId="0" fontId="5" fillId="2" borderId="13" xfId="0" applyFont="1" applyFill="1" applyBorder="1" applyAlignment="1">
      <alignment vertical="center"/>
    </xf>
    <xf numFmtId="0" fontId="0" fillId="0" borderId="29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Fill="1" applyBorder="1" applyAlignment="1">
      <alignment vertical="center"/>
    </xf>
    <xf numFmtId="0" fontId="0" fillId="0" borderId="29" xfId="0" applyBorder="1" applyAlignment="1">
      <alignment horizontal="left" wrapText="1"/>
    </xf>
    <xf numFmtId="0" fontId="4" fillId="0" borderId="29" xfId="0" applyFont="1" applyBorder="1" applyAlignment="1">
      <alignment horizontal="left" wrapText="1"/>
    </xf>
    <xf numFmtId="0" fontId="7" fillId="0" borderId="9" xfId="0" applyFont="1" applyBorder="1" applyAlignment="1">
      <alignment vertical="center" wrapText="1"/>
    </xf>
    <xf numFmtId="0" fontId="0" fillId="0" borderId="23" xfId="0" applyBorder="1" applyAlignment="1">
      <alignment vertical="center"/>
    </xf>
    <xf numFmtId="0" fontId="0" fillId="0" borderId="23" xfId="0" applyBorder="1"/>
    <xf numFmtId="0" fontId="0" fillId="0" borderId="23" xfId="0" applyBorder="1" applyAlignment="1">
      <alignment wrapText="1"/>
    </xf>
    <xf numFmtId="0" fontId="0" fillId="0" borderId="23" xfId="0" applyBorder="1" applyAlignment="1">
      <alignment horizontal="center" vertical="center" wrapText="1"/>
    </xf>
    <xf numFmtId="0" fontId="4" fillId="0" borderId="23" xfId="0" applyFont="1" applyBorder="1" applyAlignment="1">
      <alignment wrapText="1"/>
    </xf>
    <xf numFmtId="0" fontId="4" fillId="0" borderId="23" xfId="0" applyFont="1" applyBorder="1"/>
    <xf numFmtId="0" fontId="0" fillId="0" borderId="27" xfId="0" applyBorder="1" applyAlignment="1">
      <alignment horizontal="center" wrapText="1"/>
    </xf>
    <xf numFmtId="0" fontId="0" fillId="0" borderId="27" xfId="0" applyBorder="1"/>
    <xf numFmtId="0" fontId="7" fillId="0" borderId="1" xfId="0" applyFont="1" applyBorder="1" applyAlignment="1">
      <alignment horizontal="center" vertical="center" wrapText="1"/>
    </xf>
    <xf numFmtId="0" fontId="0" fillId="0" borderId="29" xfId="0" applyBorder="1" applyAlignment="1">
      <alignment vertical="center"/>
    </xf>
    <xf numFmtId="0" fontId="4" fillId="0" borderId="34" xfId="0" applyFont="1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8" xfId="0" applyFill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0" borderId="39" xfId="0" applyFont="1" applyBorder="1" applyAlignment="1">
      <alignment vertical="center"/>
    </xf>
    <xf numFmtId="0" fontId="0" fillId="0" borderId="28" xfId="0" applyBorder="1"/>
    <xf numFmtId="0" fontId="0" fillId="0" borderId="29" xfId="0" applyBorder="1"/>
    <xf numFmtId="0" fontId="4" fillId="0" borderId="29" xfId="0" applyFont="1" applyBorder="1"/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/>
    <xf numFmtId="0" fontId="0" fillId="0" borderId="36" xfId="0" applyBorder="1"/>
    <xf numFmtId="0" fontId="0" fillId="0" borderId="36" xfId="0" applyBorder="1" applyAlignment="1">
      <alignment vertical="center"/>
    </xf>
    <xf numFmtId="0" fontId="4" fillId="0" borderId="36" xfId="0" applyFont="1" applyBorder="1"/>
    <xf numFmtId="0" fontId="4" fillId="0" borderId="29" xfId="0" applyFont="1" applyBorder="1" applyAlignment="1">
      <alignment horizontal="center" vertical="center"/>
    </xf>
    <xf numFmtId="0" fontId="0" fillId="0" borderId="35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6" xfId="0" applyBorder="1" applyAlignment="1">
      <alignment horizontal="center" vertical="center" wrapText="1"/>
    </xf>
    <xf numFmtId="0" fontId="0" fillId="0" borderId="36" xfId="0" applyBorder="1" applyAlignment="1">
      <alignment wrapText="1"/>
    </xf>
    <xf numFmtId="0" fontId="4" fillId="0" borderId="36" xfId="0" applyFont="1" applyBorder="1" applyAlignment="1">
      <alignment wrapText="1"/>
    </xf>
    <xf numFmtId="0" fontId="0" fillId="0" borderId="42" xfId="0" applyBorder="1"/>
    <xf numFmtId="0" fontId="0" fillId="0" borderId="43" xfId="0" applyBorder="1"/>
    <xf numFmtId="0" fontId="0" fillId="0" borderId="43" xfId="0" applyBorder="1" applyAlignment="1">
      <alignment vertical="center"/>
    </xf>
    <xf numFmtId="0" fontId="4" fillId="0" borderId="43" xfId="0" applyFont="1" applyBorder="1"/>
    <xf numFmtId="0" fontId="0" fillId="0" borderId="33" xfId="0" applyBorder="1"/>
    <xf numFmtId="0" fontId="0" fillId="0" borderId="34" xfId="0" applyBorder="1"/>
    <xf numFmtId="0" fontId="4" fillId="0" borderId="34" xfId="0" applyFont="1" applyBorder="1"/>
    <xf numFmtId="0" fontId="0" fillId="0" borderId="1" xfId="0" applyFill="1" applyBorder="1" applyAlignment="1">
      <alignment vertical="center" wrapText="1"/>
    </xf>
    <xf numFmtId="0" fontId="0" fillId="0" borderId="29" xfId="0" applyFill="1" applyBorder="1" applyAlignment="1">
      <alignment vertical="center" wrapText="1"/>
    </xf>
    <xf numFmtId="0" fontId="0" fillId="0" borderId="23" xfId="0" applyFill="1" applyBorder="1" applyAlignment="1">
      <alignment vertical="center" wrapText="1"/>
    </xf>
    <xf numFmtId="0" fontId="4" fillId="0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6" fillId="0" borderId="29" xfId="0" applyFont="1" applyFill="1" applyBorder="1" applyAlignment="1">
      <alignment vertical="center"/>
    </xf>
    <xf numFmtId="0" fontId="4" fillId="0" borderId="29" xfId="0" applyFont="1" applyBorder="1" applyAlignment="1">
      <alignment vertical="center" wrapText="1"/>
    </xf>
    <xf numFmtId="0" fontId="14" fillId="0" borderId="46" xfId="0" applyFont="1" applyBorder="1" applyAlignment="1">
      <alignment vertical="center"/>
    </xf>
    <xf numFmtId="0" fontId="7" fillId="0" borderId="46" xfId="0" applyFont="1" applyBorder="1" applyAlignment="1">
      <alignment vertical="center" wrapText="1"/>
    </xf>
    <xf numFmtId="0" fontId="14" fillId="0" borderId="48" xfId="0" applyFont="1" applyBorder="1" applyAlignment="1">
      <alignment vertical="center"/>
    </xf>
    <xf numFmtId="0" fontId="4" fillId="0" borderId="1" xfId="0" applyFont="1" applyFill="1" applyBorder="1" applyAlignment="1">
      <alignment vertical="center" wrapText="1"/>
    </xf>
    <xf numFmtId="0" fontId="7" fillId="0" borderId="8" xfId="0" applyFont="1" applyBorder="1" applyAlignment="1">
      <alignment vertical="center" wrapText="1"/>
    </xf>
    <xf numFmtId="0" fontId="14" fillId="0" borderId="8" xfId="0" applyFont="1" applyBorder="1" applyAlignment="1">
      <alignment vertical="center"/>
    </xf>
    <xf numFmtId="0" fontId="7" fillId="0" borderId="44" xfId="0" applyFont="1" applyBorder="1" applyAlignment="1">
      <alignment vertical="center" wrapText="1"/>
    </xf>
    <xf numFmtId="0" fontId="6" fillId="0" borderId="25" xfId="0" applyFont="1" applyFill="1" applyBorder="1" applyAlignment="1">
      <alignment vertical="center"/>
    </xf>
    <xf numFmtId="0" fontId="6" fillId="0" borderId="30" xfId="0" applyFont="1" applyFill="1" applyBorder="1" applyAlignment="1">
      <alignment vertical="center"/>
    </xf>
    <xf numFmtId="0" fontId="4" fillId="0" borderId="32" xfId="0" applyFont="1" applyFill="1" applyBorder="1" applyAlignment="1">
      <alignment vertical="center"/>
    </xf>
    <xf numFmtId="0" fontId="6" fillId="0" borderId="26" xfId="0" applyFont="1" applyFill="1" applyBorder="1" applyAlignment="1">
      <alignment vertical="center"/>
    </xf>
    <xf numFmtId="0" fontId="0" fillId="0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6" xfId="0" applyBorder="1" applyAlignment="1">
      <alignment vertical="center" wrapText="1"/>
    </xf>
    <xf numFmtId="0" fontId="0" fillId="0" borderId="36" xfId="0" applyFill="1" applyBorder="1" applyAlignment="1">
      <alignment vertical="center" wrapText="1"/>
    </xf>
    <xf numFmtId="0" fontId="4" fillId="0" borderId="36" xfId="0" applyFont="1" applyBorder="1" applyAlignment="1">
      <alignment vertical="center" wrapText="1"/>
    </xf>
    <xf numFmtId="0" fontId="0" fillId="0" borderId="45" xfId="0" applyBorder="1" applyAlignment="1">
      <alignment vertical="center" wrapText="1"/>
    </xf>
    <xf numFmtId="0" fontId="15" fillId="0" borderId="47" xfId="0" applyFont="1" applyFill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41" xfId="0" applyFont="1" applyBorder="1" applyAlignment="1">
      <alignment vertical="center"/>
    </xf>
    <xf numFmtId="0" fontId="5" fillId="0" borderId="41" xfId="0" applyFont="1" applyFill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7" fillId="0" borderId="9" xfId="0" applyFont="1" applyFill="1" applyBorder="1" applyAlignment="1">
      <alignment vertical="center" wrapText="1"/>
    </xf>
    <xf numFmtId="0" fontId="0" fillId="0" borderId="25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/>
    <xf numFmtId="0" fontId="0" fillId="0" borderId="49" xfId="0" applyBorder="1" applyAlignment="1">
      <alignment vertical="center" wrapText="1"/>
    </xf>
    <xf numFmtId="0" fontId="6" fillId="0" borderId="50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</cellXfs>
  <cellStyles count="1">
    <cellStyle name="Standard" xfId="0" builtinId="0"/>
  </cellStyles>
  <dxfs count="113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  <border diagonalUp="0" diagonalDown="0">
        <left/>
        <right style="thick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horizontal/>
      </border>
    </dxf>
    <dxf>
      <border outline="0">
        <top style="medium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</font>
      <fill>
        <patternFill>
          <bgColor theme="9"/>
        </patternFill>
      </fill>
      <border>
        <left/>
        <right/>
        <top/>
        <bottom/>
      </border>
    </dxf>
    <dxf>
      <font>
        <b/>
        <i/>
      </font>
      <fill>
        <patternFill>
          <bgColor rgb="FFFF0000"/>
        </patternFill>
      </fill>
      <border>
        <left/>
        <right/>
        <top/>
        <bottom/>
      </border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BA1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ulian Schneider" id="{7845AB6B-15CF-4121-BE4D-62C5D7BD3087}" userId="a0a002a688167a2e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F4F0E6-6390-4B9F-B4F9-116625A2307B}" name="Tabelle2" displayName="Tabelle2" ref="G4:X42" totalsRowShown="0" headerRowDxfId="108" dataDxfId="106" headerRowBorderDxfId="107" tableBorderDxfId="105">
  <autoFilter ref="G4:X42" xr:uid="{2DF4F0E6-6390-4B9F-B4F9-116625A2307B}"/>
  <tableColumns count="18">
    <tableColumn id="1" xr3:uid="{2D9A05C2-06E4-49B4-8D5D-942A206497C7}" name="Kratzer" dataDxfId="104"/>
    <tableColumn id="2" xr3:uid="{0850B702-C8F7-4900-9A7B-D5F517036A90}" name="Schmelzbruch" dataDxfId="103"/>
    <tableColumn id="3" xr3:uid="{7DC23E5D-0FD2-41A8-9844-7F70662ABDDE}" name="Schlierenbildung" dataDxfId="102"/>
    <tableColumn id="4" xr3:uid="{F5B7876A-5F34-4F5B-A0BB-FE2AF3A75FCE}" name="VorformlingGlaenzend" dataDxfId="101"/>
    <tableColumn id="5" xr3:uid="{FAA445D1-9C65-431D-8EB1-CB0FAB7DFDDC}" name="Blasenbildung" dataDxfId="100"/>
    <tableColumn id="6" xr3:uid="{FD66BAF7-B453-4C73-9205-38206B909DEB}" name="RauchQualm" dataDxfId="99"/>
    <tableColumn id="7" xr3:uid="{CCFFD50B-36CB-4A26-8F35-7CF895400166}" name="Gardineneffekt" dataDxfId="98"/>
    <tableColumn id="8" xr3:uid="{9EE67B18-66EC-4D32-8419-BB0A838A745D}" name="DurchhaengenDiskont" dataDxfId="97"/>
    <tableColumn id="9" xr3:uid="{85093482-382E-40D2-9799-4FF8D2D6CE4E}" name="DurchhaengenKont" dataDxfId="96"/>
    <tableColumn id="10" xr3:uid="{BB00B809-1172-49D0-9FE0-4202F8E122C2}" name="Schlauchkrempeln" dataDxfId="95"/>
    <tableColumn id="11" xr3:uid="{1C7F0096-40F3-4464-8545-732EF0E538ED}" name="SchlauchlaufGeradeauslauf" dataDxfId="94"/>
    <tableColumn id="12" xr3:uid="{0F7F0DEE-089C-4653-A878-4B25B8311299}" name="Darmeffekt" dataDxfId="93"/>
    <tableColumn id="13" xr3:uid="{E945F0BB-A7B9-4BC3-B172-0A982DBD3B99}" name="Schlauchlaengenschwankungen" dataDxfId="92"/>
    <tableColumn id="14" xr3:uid="{4F8D480A-7C23-47DE-97CB-DBAC5C64DF8E}" name="UntSchlauchlaengenMehrfachkoepfe" dataDxfId="91"/>
    <tableColumn id="15" xr3:uid="{F9188218-CC02-416C-87BB-C6D2EF4F55FC}" name="MilichigKalterSchlauchWolken" dataDxfId="90"/>
    <tableColumn id="19" xr3:uid="{15558943-68F7-422E-8117-CCA6BC028991}" name="Zustand_default" dataDxfId="89"/>
    <tableColumn id="20" xr3:uid="{0632E226-395A-4B90-B022-27C77F75B1F2}" name="Zustand_2" dataDxfId="88"/>
    <tableColumn id="21" xr3:uid="{D4B1AFE0-F61F-4EBF-9F8A-56084AE80D2B}" name="Zustand_3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F47B0B4-4A46-4091-94C2-7FC4C28D99E1}" name="Tabelle5" displayName="Tabelle5" ref="A1:AB47" totalsRowShown="0" headerRowDxfId="86" headerRowBorderDxfId="85" tableBorderDxfId="84">
  <autoFilter ref="A1:AB47" xr:uid="{4F47B0B4-4A46-4091-94C2-7FC4C28D99E1}"/>
  <tableColumns count="28">
    <tableColumn id="1" xr3:uid="{3CF96BF5-43EE-4B83-A752-1CA2D33664CC}" name="Knoten" dataDxfId="83"/>
    <tableColumn id="19" xr3:uid="{943C2327-5CB1-4A66-838B-1B93FBDF80B5}" name="Netzname" dataDxfId="82"/>
    <tableColumn id="23" xr3:uid="{FBA40E82-4E86-42CB-A67C-D51333E95038}" name="Erfassung" dataDxfId="81"/>
    <tableColumn id="24" xr3:uid="{C7B09C3B-F4E3-4DEB-8816-111397FE4807}" name="Zustand_default" dataDxfId="80"/>
    <tableColumn id="25" xr3:uid="{FD4D02A6-01BE-4619-82C3-A4ED38343231}" name="Zustand_2" dataDxfId="79"/>
    <tableColumn id="26" xr3:uid="{14712865-E7A9-4FD5-826E-AAFDE58BD15E}" name="Zustand_3" dataDxfId="78"/>
    <tableColumn id="27" xr3:uid="{D796ED30-8895-4F63-9C0E-96C14552DA72}" name="Prob_default" dataDxfId="77"/>
    <tableColumn id="30" xr3:uid="{B36D296D-29F2-47CC-B32B-4625C3B30B29}" name="Prob_2" dataDxfId="76"/>
    <tableColumn id="31" xr3:uid="{9C9D7870-6848-4E25-AB16-C4F971E01641}" name="Prob_3" dataDxfId="75">
      <calculatedColumnFormula>IF(ISBLANK(Tabelle5[[#This Row],[Zustand_3]]),0,1-Tabelle5[[#This Row],[Prob_default]]-Tabelle5[[#This Row],[Prob_2]])</calculatedColumnFormula>
    </tableColumn>
    <tableColumn id="2" xr3:uid="{84AAE9DA-1F95-446E-A078-7295D195CAD7}" name="Elternknoten1" dataDxfId="74"/>
    <tableColumn id="3" xr3:uid="{747E5AFB-5630-406B-901D-8E8DCDB77732}" name="Elternknoten2" dataDxfId="73"/>
    <tableColumn id="21" xr3:uid="{91FE434D-920D-4DA2-84A8-8C185F04766B}" name="Elternknoten3" dataDxfId="72"/>
    <tableColumn id="20" xr3:uid="{03FFC6B2-B04D-4E60-A5B8-F6ED5B89D4BD}" name="Elternknoten4" dataDxfId="71"/>
    <tableColumn id="22" xr3:uid="{68510A6F-F075-43F7-8D0C-8426D3FA1D3B}" name="Elternknoten5" dataDxfId="70"/>
    <tableColumn id="4" xr3:uid="{CED0B581-6F03-4B7E-8A71-8B7D41CD27AB}" name="Kratzer" dataDxfId="69"/>
    <tableColumn id="5" xr3:uid="{1820B1E8-E8F4-49E8-9DA2-2D4C1DB14500}" name="Schmelzbruch" dataDxfId="68"/>
    <tableColumn id="6" xr3:uid="{92E3618F-FC77-422F-B22E-ED1B010AD174}" name="Schlierenbildung" dataDxfId="67"/>
    <tableColumn id="7" xr3:uid="{0EA70A1D-42D7-4F60-9839-385B15AFBA08}" name="VorformlingGlaenzend" dataDxfId="66"/>
    <tableColumn id="8" xr3:uid="{26FC4817-9D11-4D6F-8C24-31C12432715F}" name="Blasenbildung" dataDxfId="65"/>
    <tableColumn id="9" xr3:uid="{B577AD00-DEA9-46A5-8C7F-C526299A5D5E}" name="RauchQualm" dataDxfId="64"/>
    <tableColumn id="10" xr3:uid="{80158AEA-B187-4A0F-A3E2-B644BF03EAF9}" name="Gardineneffekt" dataDxfId="63"/>
    <tableColumn id="12" xr3:uid="{07BCA522-6A54-49DC-BF59-ED50480AFD19}" name="DurchhaengenKont" dataDxfId="62"/>
    <tableColumn id="13" xr3:uid="{83BA287E-3A48-426C-84ED-88582700D7B4}" name="Schlauchkrempeln" dataDxfId="61"/>
    <tableColumn id="14" xr3:uid="{497ED5A8-9BCD-44E5-A63A-AA9FE71C32C8}" name="SchlauchlaufGeradeauslauf" dataDxfId="60"/>
    <tableColumn id="15" xr3:uid="{20E0CF55-ECE1-4B51-9734-511D06E03D38}" name="Darmeffekt" dataDxfId="59"/>
    <tableColumn id="16" xr3:uid="{868234E1-09ED-4AF2-AD8D-DBFDB7B94065}" name="Schlauchlaengenschwankungen" dataDxfId="58"/>
    <tableColumn id="17" xr3:uid="{3FF16090-D342-4A5D-B095-A8343FF10F72}" name="UntSchlauchlaengenMehrfachkoepfe" dataDxfId="57"/>
    <tableColumn id="18" xr3:uid="{FDDE9B01-F18B-4E9F-9E43-D2B6D4AA8CC4}" name="MilichigKalterSchlauchWolken" dataDxfId="5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10D744-BD88-448E-9DE2-117E0EA7E987}" name="Tabelle6" displayName="Tabelle6" ref="A1:AC73" totalsRowShown="0" headerRowDxfId="55" dataDxfId="53" headerRowBorderDxfId="54" tableBorderDxfId="52">
  <autoFilter ref="A1:AC73" xr:uid="{B310D744-BD88-448E-9DE2-117E0EA7E987}"/>
  <sortState xmlns:xlrd2="http://schemas.microsoft.com/office/spreadsheetml/2017/richdata2" ref="A2:AC73">
    <sortCondition ref="B1:B73"/>
  </sortState>
  <tableColumns count="29">
    <tableColumn id="1" xr3:uid="{503785DB-F7ED-44A0-B425-A64115C9AC30}" name="Knoten" dataDxfId="51"/>
    <tableColumn id="26" xr3:uid="{DFF4B7AA-97F3-4302-A17C-28844D5296BA}" name="Netzname" dataDxfId="50"/>
    <tableColumn id="29" xr3:uid="{DB77B02F-C17D-4E05-ABA5-D21B2F26633E}" name="Erfassung" dataDxfId="49"/>
    <tableColumn id="30" xr3:uid="{A3B1F375-1FD1-4F35-9AA3-F0DC943128FF}" name="Zustand_default" dataDxfId="48"/>
    <tableColumn id="31" xr3:uid="{B68DD1A5-DEBA-4211-9B3B-35B087E844DB}" name="Zustand_2" dataDxfId="47"/>
    <tableColumn id="32" xr3:uid="{634ED4E5-7C7F-4298-B363-0F840053A4C5}" name="Zustand_3" dataDxfId="46"/>
    <tableColumn id="2" xr3:uid="{4D21909B-177A-47AB-8F0E-21E1D9DC4AFF}" name="Elternknoten1" dataDxfId="45"/>
    <tableColumn id="3" xr3:uid="{B9C0600C-EF68-426D-A5A7-C58115F76B91}" name="Elternknoten2" dataDxfId="44"/>
    <tableColumn id="24" xr3:uid="{FB3A785D-EAB1-40FF-8E29-0A7DA3284ECB}" name="Elternknoten3" dataDxfId="43"/>
    <tableColumn id="25" xr3:uid="{446A7FBC-FEED-41A3-8DC9-EB1763272170}" name="Elternknoten4" dataDxfId="42"/>
    <tableColumn id="27" xr3:uid="{64C664A9-3CB3-4C1A-BEBF-4D6B5C2ED27F}" name="Elternknoten5" dataDxfId="41"/>
    <tableColumn id="4" xr3:uid="{3E8C1029-6811-41D4-BCBB-82CB140FA66D}" name="Butzenabfall" dataDxfId="40"/>
    <tableColumn id="5" xr3:uid="{6D0AAFCE-1BB1-4839-B2A5-7139F6222BFC}" name="langeZykluszeit" dataDxfId="39"/>
    <tableColumn id="6" xr3:uid="{1561F09F-09D7-4E68-AB81-ED2841ECBC96}" name="ArtikelhaengtFrom" dataDxfId="38"/>
    <tableColumn id="7" xr3:uid="{752B17D9-D7D1-4EE3-BC97-D979BB2C3AB6}" name="DuennstellenFormtrennnaht" dataDxfId="37"/>
    <tableColumn id="8" xr3:uid="{86B44D24-B3FA-4EA6-8909-7216514A6821}" name="SchlechteBodenschweissnaht" dataDxfId="36"/>
    <tableColumn id="9" xr3:uid="{6189CB3F-5925-43FA-87EE-811E52007ECB}" name="DickeBodenschweissnaht" dataDxfId="35"/>
    <tableColumn id="11" xr3:uid="{A7D43BDF-4A9A-478F-BA23-28D60C898C7C}" name="Orangenhaut" dataDxfId="34"/>
    <tableColumn id="12" xr3:uid="{468F31E3-ED15-4C2F-ADA8-31D506FBAD3E}" name="Weissbruch" dataDxfId="33"/>
    <tableColumn id="13" xr3:uid="{4DB938A7-F9E2-42E6-A4A3-A738F8CC9916}" name="VerwerfungVerzugEinfallstellen" dataDxfId="32"/>
    <tableColumn id="14" xr3:uid="{2BF5CFAC-0A7D-4394-9347-B6EEE40313B3}" name="starkerSchrumpf" dataDxfId="31"/>
    <tableColumn id="15" xr3:uid="{EA68BBA9-53A6-40F4-8C3A-9D0C84E739FC}" name="Blasdorneinschub" dataDxfId="30"/>
    <tableColumn id="17" xr3:uid="{3D200266-C279-4AE3-80D3-403470777BC8}" name="UneinheitlicheWanddickenverteilung" dataDxfId="29"/>
    <tableColumn id="18" xr3:uid="{19A53724-B097-4847-AD23-11D54C108512}" name="SchlechteSchweissnahtbildung" dataDxfId="28"/>
    <tableColumn id="19" xr3:uid="{49F57ACF-3268-4DD4-B0E0-A108A35CDF84}" name="Blasen" dataDxfId="27"/>
    <tableColumn id="20" xr3:uid="{B16FC783-8768-4D9F-A9C3-390A7A94FD4D}" name="FaltenArtikel" dataDxfId="26"/>
    <tableColumn id="21" xr3:uid="{8A345463-61EB-478D-BFEE-7BC580466E47}" name="KlebestellenArtikel" dataDxfId="25"/>
    <tableColumn id="22" xr3:uid="{9E34241B-A6F3-4B97-8113-2248BB373E1A}" name="Konturversatz" dataDxfId="24"/>
    <tableColumn id="23" xr3:uid="{C38832E4-7903-4D53-A431-CCF3501B7460}" name="GratbildungFormtrennbereich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4E96AC-989C-4184-BF90-B86EB7AAC2C9}" name="Tabelle1" displayName="Tabelle1" ref="A2:J35" totalsRowShown="0" headerRowDxfId="18">
  <autoFilter ref="A2:J35" xr:uid="{C14E96AC-989C-4184-BF90-B86EB7AAC2C9}"/>
  <tableColumns count="10">
    <tableColumn id="1" xr3:uid="{92A0CE3C-282B-431E-99C5-7DC60C1C4D7D}" name="Bezeichnung" dataDxfId="17"/>
    <tableColumn id="2" xr3:uid="{FD6EF2B0-3A6B-4776-9B7D-B5B2010D23D9}" name="Thermisch ja/nein" dataDxfId="16"/>
    <tableColumn id="5" xr3:uid="{74EB4F7E-682E-412A-87A9-D03E4303BFE3}" name="Datum" dataDxfId="15"/>
    <tableColumn id="3" xr3:uid="{5DB7F53A-FA1B-465F-8299-560019603A20}" name="Name in Steuerung" dataDxfId="14"/>
    <tableColumn id="10" xr3:uid="{E9EB14C0-B0B7-432D-96C6-CE6721CF8CF9}" name="Datenbausteinadresse" dataDxfId="13"/>
    <tableColumn id="4" xr3:uid="{1E9D68CA-C79B-40CD-A424-64A6CD690162}" name="Kommentar" dataDxfId="12"/>
    <tableColumn id="8" xr3:uid="{DD038D66-A1EB-4AA4-B5E7-760A408028FF}" name="Kommentar 1" dataDxfId="11"/>
    <tableColumn id="6" xr3:uid="{EE3F7207-8621-4504-8188-19C8CFCCA524}" name="Produktab-hänigkeit" dataDxfId="10"/>
    <tableColumn id="7" xr3:uid="{E2571C0F-9FB5-4D3A-A55A-C6CBF37221A8}" name="Direkt / Indirekt Veränderbar" dataDxfId="9"/>
    <tableColumn id="9" xr3:uid="{416E7C9C-A714-4DDC-911F-C23C01B5B417}" name="Status" dataDxfId="8"/>
  </tableColumns>
  <tableStyleInfo name="TableStyleDark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4915AD-D6F8-4DCF-BEFD-6AF5FBB2D82C}" name="Tabelle4" displayName="Tabelle4" ref="A2:G27" totalsRowShown="0" headerRowDxfId="7">
  <autoFilter ref="A2:G27" xr:uid="{F64915AD-D6F8-4DCF-BEFD-6AF5FBB2D82C}"/>
  <tableColumns count="7">
    <tableColumn id="1" xr3:uid="{AEB425DA-F1DD-486B-A02E-B0ED8C731F35}" name="Bezeichnung" dataDxfId="6"/>
    <tableColumn id="2" xr3:uid="{5D883143-D9E9-40CE-BD3B-3D246B81351E}" name="Art" dataDxfId="5"/>
    <tableColumn id="5" xr3:uid="{7699D140-0950-420C-A6B2-7A4EF01C9D0B}" name="Zustand" dataDxfId="4"/>
    <tableColumn id="3" xr3:uid="{1F16B709-ACE4-46F4-9750-8627EE3AFA17}" name="Eindeutiger Identifier" dataDxfId="3"/>
    <tableColumn id="4" xr3:uid="{A9A595A2-2BD5-4CCA-8579-52EFF3E46082}" name="Kommentar" dataDxfId="2"/>
    <tableColumn id="6" xr3:uid="{31C58E02-B181-4C50-922A-54FB471E0FB4}" name="Produktab-hänigkeit" dataDxfId="1"/>
    <tableColumn id="7" xr3:uid="{C6488B4A-3A43-4C8A-AE30-27724DB9F5B1}" name="Direkt / Indirekt Veränderbar" dataDxfId="0"/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1-12-14T12:56:05.20" personId="{7845AB6B-15CF-4121-BE4D-62C5D7BD3087}" id="{3862A687-E371-4BB0-B7BB-8259E43062CA}">
    <text>Beudetung der Buchstaben:
- x: besitzt eine Kante zum Fehler
- s: besitzt keine Knate zum Fehler, wird jededoch für einen anderen Knoten im Netz benötigt</text>
  </threadedComment>
  <threadedComment ref="A1" dT="2021-12-15T10:44:37.65" personId="{7845AB6B-15CF-4121-BE4D-62C5D7BD3087}" id="{3773A03A-0D51-45EF-A43D-1C479260F9E8}" parentId="{3862A687-E371-4BB0-B7BB-8259E43062CA}">
    <text>Mit ROT sind Knoten markiert die auch im Vorformling vorkommen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FA6B-631B-4E7C-8F82-6F1A63FABD31}">
  <sheetPr codeName="Tabelle1"/>
  <dimension ref="A1:Z45"/>
  <sheetViews>
    <sheetView topLeftCell="A9" zoomScaleNormal="100" workbookViewId="0">
      <pane xSplit="1" topLeftCell="V1" activePane="topRight" state="frozen"/>
      <selection pane="topRight" activeCell="A10" sqref="A10:XFD10"/>
    </sheetView>
  </sheetViews>
  <sheetFormatPr baseColWidth="10" defaultRowHeight="15" x14ac:dyDescent="0.25"/>
  <cols>
    <col min="1" max="1" width="41" bestFit="1" customWidth="1"/>
    <col min="2" max="2" width="10.7109375" customWidth="1"/>
    <col min="3" max="3" width="22.5703125" bestFit="1" customWidth="1"/>
    <col min="4" max="4" width="56.5703125" bestFit="1" customWidth="1"/>
    <col min="5" max="5" width="23.140625" bestFit="1" customWidth="1"/>
    <col min="6" max="6" width="37.5703125" style="6" bestFit="1" customWidth="1"/>
    <col min="7" max="7" width="31.42578125" style="1" bestFit="1" customWidth="1"/>
    <col min="8" max="8" width="15.5703125" style="1" bestFit="1" customWidth="1"/>
    <col min="9" max="9" width="18.42578125" style="1" bestFit="1" customWidth="1"/>
    <col min="10" max="10" width="23.85546875" style="1" bestFit="1" customWidth="1"/>
    <col min="11" max="11" width="15.85546875" style="1" bestFit="1" customWidth="1"/>
    <col min="12" max="12" width="14.42578125" style="1" bestFit="1" customWidth="1"/>
    <col min="13" max="13" width="17" style="1" bestFit="1" customWidth="1"/>
    <col min="14" max="14" width="23" style="1" bestFit="1" customWidth="1"/>
    <col min="15" max="15" width="20.42578125" style="1" bestFit="1" customWidth="1"/>
    <col min="16" max="16" width="19.7109375" style="1" bestFit="1" customWidth="1"/>
    <col min="17" max="17" width="27.7109375" style="1" bestFit="1" customWidth="1"/>
    <col min="18" max="18" width="13.42578125" style="1" bestFit="1" customWidth="1"/>
    <col min="19" max="19" width="30.5703125" style="1" bestFit="1" customWidth="1"/>
    <col min="20" max="20" width="36.85546875" style="1" bestFit="1" customWidth="1"/>
    <col min="21" max="21" width="30.85546875" style="1" bestFit="1" customWidth="1"/>
    <col min="22" max="22" width="19.7109375" style="1" bestFit="1" customWidth="1"/>
    <col min="23" max="24" width="14.140625" style="1" bestFit="1" customWidth="1"/>
    <col min="25" max="26" width="11.42578125" style="1"/>
  </cols>
  <sheetData>
    <row r="1" spans="1:26" ht="15" customHeight="1" x14ac:dyDescent="0.25">
      <c r="A1" s="189" t="s">
        <v>0</v>
      </c>
      <c r="B1" s="190"/>
      <c r="C1" s="190"/>
      <c r="D1" s="190"/>
      <c r="E1" s="190"/>
      <c r="F1" s="191"/>
      <c r="G1" s="12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</row>
    <row r="2" spans="1:26" ht="15" customHeight="1" thickBot="1" x14ac:dyDescent="0.3">
      <c r="A2" s="192"/>
      <c r="B2" s="193"/>
      <c r="C2" s="193"/>
      <c r="D2" s="193"/>
      <c r="E2" s="193"/>
      <c r="F2" s="194"/>
      <c r="G2" s="10" t="s">
        <v>54</v>
      </c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/>
      <c r="T2"/>
      <c r="U2"/>
      <c r="V2"/>
      <c r="W2"/>
      <c r="X2"/>
      <c r="Y2"/>
      <c r="Z2"/>
    </row>
    <row r="3" spans="1:26" ht="15" customHeight="1" thickBot="1" x14ac:dyDescent="0.3">
      <c r="A3" s="7"/>
      <c r="B3" s="8"/>
      <c r="C3" s="49"/>
      <c r="D3" s="8"/>
      <c r="E3" s="8"/>
      <c r="F3" s="9"/>
      <c r="G3" s="50">
        <f t="shared" ref="G3:U3" si="0">COUNTIF(G5:G42,"x")</f>
        <v>5</v>
      </c>
      <c r="H3" s="50">
        <f t="shared" si="0"/>
        <v>9</v>
      </c>
      <c r="I3" s="50">
        <f t="shared" si="0"/>
        <v>8</v>
      </c>
      <c r="J3" s="50">
        <f t="shared" si="0"/>
        <v>6</v>
      </c>
      <c r="K3" s="50">
        <f t="shared" si="0"/>
        <v>8</v>
      </c>
      <c r="L3" s="50">
        <f t="shared" si="0"/>
        <v>6</v>
      </c>
      <c r="M3" s="50">
        <f t="shared" si="0"/>
        <v>8</v>
      </c>
      <c r="N3" s="50">
        <f t="shared" si="0"/>
        <v>6</v>
      </c>
      <c r="O3" s="50">
        <f t="shared" si="0"/>
        <v>9</v>
      </c>
      <c r="P3" s="50">
        <f t="shared" si="0"/>
        <v>8</v>
      </c>
      <c r="Q3" s="50">
        <f t="shared" si="0"/>
        <v>7</v>
      </c>
      <c r="R3" s="50">
        <f t="shared" si="0"/>
        <v>11</v>
      </c>
      <c r="S3" s="50">
        <f t="shared" si="0"/>
        <v>9</v>
      </c>
      <c r="T3" s="50">
        <f t="shared" si="0"/>
        <v>8</v>
      </c>
      <c r="U3" s="50">
        <f t="shared" si="0"/>
        <v>11</v>
      </c>
      <c r="V3"/>
      <c r="W3"/>
      <c r="X3"/>
      <c r="Y3"/>
      <c r="Z3"/>
    </row>
    <row r="4" spans="1:26" s="2" customFormat="1" ht="16.5" thickBot="1" x14ac:dyDescent="0.3">
      <c r="A4" s="3" t="s">
        <v>1</v>
      </c>
      <c r="B4" s="3" t="s">
        <v>6</v>
      </c>
      <c r="C4" s="3" t="s">
        <v>193</v>
      </c>
      <c r="D4" s="4" t="s">
        <v>9</v>
      </c>
      <c r="E4" s="4" t="s">
        <v>47</v>
      </c>
      <c r="F4" s="3" t="s">
        <v>11</v>
      </c>
      <c r="G4" s="13" t="s">
        <v>10</v>
      </c>
      <c r="H4" s="13" t="s">
        <v>12</v>
      </c>
      <c r="I4" s="13" t="s">
        <v>18</v>
      </c>
      <c r="J4" s="14" t="s">
        <v>144</v>
      </c>
      <c r="K4" s="13" t="s">
        <v>24</v>
      </c>
      <c r="L4" s="14" t="s">
        <v>65</v>
      </c>
      <c r="M4" s="13" t="s">
        <v>34</v>
      </c>
      <c r="N4" s="14" t="s">
        <v>145</v>
      </c>
      <c r="O4" s="14" t="s">
        <v>146</v>
      </c>
      <c r="P4" s="13" t="s">
        <v>40</v>
      </c>
      <c r="Q4" s="14" t="s">
        <v>147</v>
      </c>
      <c r="R4" s="13" t="s">
        <v>45</v>
      </c>
      <c r="S4" s="14" t="s">
        <v>148</v>
      </c>
      <c r="T4" s="14" t="s">
        <v>149</v>
      </c>
      <c r="U4" s="14" t="s">
        <v>150</v>
      </c>
      <c r="V4" s="14" t="s">
        <v>151</v>
      </c>
      <c r="W4" s="14" t="s">
        <v>152</v>
      </c>
      <c r="X4" s="14" t="s">
        <v>156</v>
      </c>
    </row>
    <row r="5" spans="1:26" x14ac:dyDescent="0.25">
      <c r="A5" s="23" t="s">
        <v>2</v>
      </c>
      <c r="B5" s="27" t="s">
        <v>7</v>
      </c>
      <c r="C5" s="60" t="s">
        <v>194</v>
      </c>
      <c r="D5" s="67"/>
      <c r="E5" s="62" t="s">
        <v>48</v>
      </c>
      <c r="F5" s="20" t="s">
        <v>61</v>
      </c>
      <c r="G5" s="15" t="s">
        <v>23</v>
      </c>
      <c r="H5" s="15" t="s">
        <v>23</v>
      </c>
      <c r="I5" s="15" t="s">
        <v>23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51" t="s">
        <v>154</v>
      </c>
      <c r="W5" s="15" t="s">
        <v>153</v>
      </c>
      <c r="X5" s="52"/>
    </row>
    <row r="6" spans="1:26" x14ac:dyDescent="0.25">
      <c r="A6" s="24" t="s">
        <v>3</v>
      </c>
      <c r="B6" s="28" t="s">
        <v>7</v>
      </c>
      <c r="C6" s="59" t="s">
        <v>194</v>
      </c>
      <c r="D6" s="68"/>
      <c r="E6" s="63" t="s">
        <v>48</v>
      </c>
      <c r="F6" s="21" t="s">
        <v>62</v>
      </c>
      <c r="G6" s="16" t="s">
        <v>23</v>
      </c>
      <c r="H6" s="16"/>
      <c r="I6" s="78" t="s">
        <v>23</v>
      </c>
      <c r="J6" s="16"/>
      <c r="K6" s="16"/>
      <c r="L6" s="16"/>
      <c r="M6" s="16"/>
      <c r="N6" s="16"/>
      <c r="O6" s="16"/>
      <c r="P6" s="16"/>
      <c r="Q6" s="78" t="s">
        <v>23</v>
      </c>
      <c r="R6" s="78" t="s">
        <v>23</v>
      </c>
      <c r="S6" s="16"/>
      <c r="T6" s="16"/>
      <c r="U6" s="78" t="s">
        <v>23</v>
      </c>
      <c r="V6" s="53" t="s">
        <v>154</v>
      </c>
      <c r="W6" s="16" t="s">
        <v>153</v>
      </c>
      <c r="X6" s="54"/>
    </row>
    <row r="7" spans="1:26" x14ac:dyDescent="0.25">
      <c r="A7" s="24" t="s">
        <v>4</v>
      </c>
      <c r="B7" s="29" t="s">
        <v>8</v>
      </c>
      <c r="C7" s="59" t="s">
        <v>195</v>
      </c>
      <c r="D7" s="68" t="s">
        <v>196</v>
      </c>
      <c r="E7" s="65" t="s">
        <v>49</v>
      </c>
      <c r="F7" s="21" t="s">
        <v>63</v>
      </c>
      <c r="G7" s="16" t="s">
        <v>23</v>
      </c>
      <c r="H7" s="77" t="s">
        <v>23</v>
      </c>
      <c r="I7" s="16" t="s">
        <v>23</v>
      </c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53"/>
      <c r="W7" s="16"/>
      <c r="X7" s="54"/>
    </row>
    <row r="8" spans="1:26" x14ac:dyDescent="0.25">
      <c r="A8" s="24" t="s">
        <v>5</v>
      </c>
      <c r="B8" s="28" t="s">
        <v>7</v>
      </c>
      <c r="C8" s="59" t="s">
        <v>194</v>
      </c>
      <c r="D8" s="68"/>
      <c r="E8" s="63" t="s">
        <v>48</v>
      </c>
      <c r="F8" s="21" t="s">
        <v>55</v>
      </c>
      <c r="G8" s="16" t="s">
        <v>23</v>
      </c>
      <c r="H8" s="16"/>
      <c r="I8" s="16" t="s">
        <v>23</v>
      </c>
      <c r="J8" s="16"/>
      <c r="K8" s="16"/>
      <c r="L8" s="16"/>
      <c r="M8" s="16"/>
      <c r="N8" s="16"/>
      <c r="O8" s="16"/>
      <c r="P8" s="16"/>
      <c r="Q8" s="16" t="s">
        <v>23</v>
      </c>
      <c r="R8" s="16" t="s">
        <v>23</v>
      </c>
      <c r="S8" s="16"/>
      <c r="T8" s="16" t="s">
        <v>23</v>
      </c>
      <c r="U8" s="16" t="s">
        <v>23</v>
      </c>
      <c r="V8" s="53" t="s">
        <v>154</v>
      </c>
      <c r="W8" s="16" t="s">
        <v>153</v>
      </c>
      <c r="X8" s="54"/>
    </row>
    <row r="9" spans="1:26" x14ac:dyDescent="0.25">
      <c r="A9" s="24" t="s">
        <v>13</v>
      </c>
      <c r="B9" s="28" t="s">
        <v>7</v>
      </c>
      <c r="C9" s="59" t="s">
        <v>194</v>
      </c>
      <c r="D9" s="68" t="s">
        <v>222</v>
      </c>
      <c r="E9" s="63" t="s">
        <v>197</v>
      </c>
      <c r="F9" s="21" t="s">
        <v>13</v>
      </c>
      <c r="G9" s="16"/>
      <c r="H9" s="16" t="s">
        <v>23</v>
      </c>
      <c r="I9" s="16"/>
      <c r="J9" s="16"/>
      <c r="K9" s="16" t="s">
        <v>23</v>
      </c>
      <c r="L9" s="16"/>
      <c r="M9" s="16"/>
      <c r="N9" s="16"/>
      <c r="O9" s="16"/>
      <c r="P9" s="16"/>
      <c r="Q9" s="16"/>
      <c r="R9" s="16"/>
      <c r="S9" s="16"/>
      <c r="T9" s="16"/>
      <c r="U9" s="16"/>
      <c r="V9" s="53" t="s">
        <v>155</v>
      </c>
      <c r="W9" s="16" t="s">
        <v>170</v>
      </c>
      <c r="X9" s="54" t="s">
        <v>171</v>
      </c>
    </row>
    <row r="10" spans="1:26" ht="30" x14ac:dyDescent="0.25">
      <c r="A10" s="24" t="s">
        <v>14</v>
      </c>
      <c r="B10" s="28" t="s">
        <v>7</v>
      </c>
      <c r="C10" s="59" t="s">
        <v>195</v>
      </c>
      <c r="D10" s="68" t="s">
        <v>199</v>
      </c>
      <c r="E10" s="65" t="s">
        <v>200</v>
      </c>
      <c r="F10" s="21" t="s">
        <v>14</v>
      </c>
      <c r="G10" s="16"/>
      <c r="H10" s="16" t="s">
        <v>23</v>
      </c>
      <c r="I10" s="16" t="s">
        <v>23</v>
      </c>
      <c r="J10" s="16" t="s">
        <v>23</v>
      </c>
      <c r="K10" s="16"/>
      <c r="L10" s="16"/>
      <c r="M10" s="16"/>
      <c r="N10" s="16" t="s">
        <v>23</v>
      </c>
      <c r="O10" s="16" t="s">
        <v>23</v>
      </c>
      <c r="P10" s="16"/>
      <c r="Q10" s="16"/>
      <c r="R10" s="16"/>
      <c r="S10" s="16" t="s">
        <v>23</v>
      </c>
      <c r="T10" s="16"/>
      <c r="U10" s="16"/>
      <c r="V10" s="53" t="s">
        <v>155</v>
      </c>
      <c r="W10" s="16" t="s">
        <v>185</v>
      </c>
      <c r="X10" s="54" t="s">
        <v>186</v>
      </c>
    </row>
    <row r="11" spans="1:26" x14ac:dyDescent="0.25">
      <c r="A11" s="24" t="s">
        <v>15</v>
      </c>
      <c r="B11" s="28" t="s">
        <v>8</v>
      </c>
      <c r="C11" s="59" t="s">
        <v>195</v>
      </c>
      <c r="D11" s="68" t="s">
        <v>201</v>
      </c>
      <c r="E11" s="65" t="s">
        <v>49</v>
      </c>
      <c r="F11" s="21" t="s">
        <v>56</v>
      </c>
      <c r="G11" s="16"/>
      <c r="H11" s="16" t="s">
        <v>23</v>
      </c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53"/>
      <c r="W11" s="16"/>
      <c r="X11" s="54"/>
    </row>
    <row r="12" spans="1:26" x14ac:dyDescent="0.25">
      <c r="A12" s="25" t="s">
        <v>16</v>
      </c>
      <c r="B12" s="29" t="s">
        <v>8</v>
      </c>
      <c r="C12" s="59" t="s">
        <v>195</v>
      </c>
      <c r="D12" s="68" t="s">
        <v>202</v>
      </c>
      <c r="E12" s="65" t="s">
        <v>49</v>
      </c>
      <c r="F12" s="21" t="s">
        <v>68</v>
      </c>
      <c r="G12" s="16"/>
      <c r="H12" s="16" t="s">
        <v>23</v>
      </c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53"/>
      <c r="W12" s="16"/>
      <c r="X12" s="54"/>
    </row>
    <row r="13" spans="1:26" x14ac:dyDescent="0.25">
      <c r="A13" s="25" t="s">
        <v>19</v>
      </c>
      <c r="B13" s="29" t="s">
        <v>8</v>
      </c>
      <c r="C13" s="59" t="s">
        <v>195</v>
      </c>
      <c r="D13" s="68" t="s">
        <v>203</v>
      </c>
      <c r="E13" s="65" t="s">
        <v>49</v>
      </c>
      <c r="F13" s="21" t="s">
        <v>19</v>
      </c>
      <c r="G13" s="16"/>
      <c r="H13" s="16"/>
      <c r="I13" s="16" t="s">
        <v>23</v>
      </c>
      <c r="J13" s="16" t="s">
        <v>23</v>
      </c>
      <c r="K13" s="16" t="s">
        <v>23</v>
      </c>
      <c r="L13" s="16" t="s">
        <v>23</v>
      </c>
      <c r="M13" s="16"/>
      <c r="N13" s="16" t="s">
        <v>23</v>
      </c>
      <c r="O13" s="16" t="s">
        <v>23</v>
      </c>
      <c r="P13" s="16" t="s">
        <v>23</v>
      </c>
      <c r="Q13" s="16" t="s">
        <v>23</v>
      </c>
      <c r="R13" s="16" t="s">
        <v>23</v>
      </c>
      <c r="S13" s="16" t="s">
        <v>23</v>
      </c>
      <c r="T13" s="16" t="s">
        <v>23</v>
      </c>
      <c r="U13" s="16" t="s">
        <v>23</v>
      </c>
      <c r="V13" s="53"/>
      <c r="W13" s="16"/>
      <c r="X13" s="54"/>
    </row>
    <row r="14" spans="1:26" ht="45" x14ac:dyDescent="0.25">
      <c r="A14" s="24" t="s">
        <v>20</v>
      </c>
      <c r="B14" s="28" t="s">
        <v>8</v>
      </c>
      <c r="C14" s="59" t="s">
        <v>195</v>
      </c>
      <c r="D14" s="68" t="s">
        <v>204</v>
      </c>
      <c r="E14" s="63" t="s">
        <v>50</v>
      </c>
      <c r="F14" s="21" t="s">
        <v>20</v>
      </c>
      <c r="G14" s="78" t="s">
        <v>23</v>
      </c>
      <c r="H14" s="78" t="s">
        <v>23</v>
      </c>
      <c r="I14" s="16" t="s">
        <v>23</v>
      </c>
      <c r="J14" s="16" t="s">
        <v>23</v>
      </c>
      <c r="K14" s="16" t="s">
        <v>23</v>
      </c>
      <c r="L14" s="16" t="s">
        <v>23</v>
      </c>
      <c r="M14" s="78" t="s">
        <v>23</v>
      </c>
      <c r="N14" s="16" t="s">
        <v>23</v>
      </c>
      <c r="O14" s="16" t="s">
        <v>23</v>
      </c>
      <c r="P14" s="16" t="s">
        <v>23</v>
      </c>
      <c r="Q14" s="16" t="s">
        <v>23</v>
      </c>
      <c r="R14" s="16" t="s">
        <v>23</v>
      </c>
      <c r="S14" s="16" t="s">
        <v>23</v>
      </c>
      <c r="T14" s="16" t="s">
        <v>23</v>
      </c>
      <c r="U14" s="16" t="s">
        <v>23</v>
      </c>
      <c r="V14" s="53"/>
      <c r="W14" s="16"/>
      <c r="X14" s="54"/>
    </row>
    <row r="15" spans="1:26" ht="30" x14ac:dyDescent="0.25">
      <c r="A15" s="24" t="s">
        <v>21</v>
      </c>
      <c r="B15" s="66" t="s">
        <v>8</v>
      </c>
      <c r="C15" s="59" t="s">
        <v>195</v>
      </c>
      <c r="D15" s="68" t="s">
        <v>205</v>
      </c>
      <c r="E15" s="63" t="s">
        <v>49</v>
      </c>
      <c r="F15" s="21" t="s">
        <v>64</v>
      </c>
      <c r="G15" s="16"/>
      <c r="H15" s="16"/>
      <c r="I15" s="16"/>
      <c r="J15" s="16" t="s">
        <v>23</v>
      </c>
      <c r="K15" s="16"/>
      <c r="L15" s="16" t="s">
        <v>23</v>
      </c>
      <c r="M15" s="16" t="s">
        <v>23</v>
      </c>
      <c r="N15" s="16"/>
      <c r="O15" s="16" t="s">
        <v>23</v>
      </c>
      <c r="P15" s="16" t="s">
        <v>23</v>
      </c>
      <c r="Q15" s="16"/>
      <c r="R15" s="16"/>
      <c r="S15" s="16" t="s">
        <v>23</v>
      </c>
      <c r="T15" s="16"/>
      <c r="U15" s="16"/>
      <c r="V15" s="53"/>
      <c r="W15" s="16"/>
      <c r="X15" s="54"/>
    </row>
    <row r="16" spans="1:26" x14ac:dyDescent="0.25">
      <c r="A16" s="24" t="s">
        <v>22</v>
      </c>
      <c r="B16" s="28" t="s">
        <v>8</v>
      </c>
      <c r="C16" s="59" t="s">
        <v>195</v>
      </c>
      <c r="D16" s="68" t="s">
        <v>206</v>
      </c>
      <c r="E16" s="65" t="s">
        <v>49</v>
      </c>
      <c r="F16" s="21" t="s">
        <v>22</v>
      </c>
      <c r="G16" s="16"/>
      <c r="H16" s="16"/>
      <c r="I16" s="16"/>
      <c r="J16" s="16" t="s">
        <v>23</v>
      </c>
      <c r="K16" s="16"/>
      <c r="L16" s="16" t="s">
        <v>23</v>
      </c>
      <c r="M16" s="16" t="s">
        <v>23</v>
      </c>
      <c r="N16" s="16"/>
      <c r="O16" s="16" t="s">
        <v>23</v>
      </c>
      <c r="P16" s="16" t="s">
        <v>23</v>
      </c>
      <c r="Q16" s="16"/>
      <c r="R16" s="16"/>
      <c r="S16" s="16" t="s">
        <v>23</v>
      </c>
      <c r="T16" s="16"/>
      <c r="U16" s="16" t="s">
        <v>23</v>
      </c>
      <c r="V16" s="53"/>
      <c r="W16" s="16"/>
      <c r="X16" s="54"/>
    </row>
    <row r="17" spans="1:24" ht="30" x14ac:dyDescent="0.25">
      <c r="A17" s="24" t="s">
        <v>25</v>
      </c>
      <c r="B17" s="28" t="s">
        <v>7</v>
      </c>
      <c r="C17" s="59" t="s">
        <v>194</v>
      </c>
      <c r="D17" s="68"/>
      <c r="E17" s="63" t="s">
        <v>207</v>
      </c>
      <c r="F17" s="21" t="s">
        <v>57</v>
      </c>
      <c r="G17" s="16"/>
      <c r="H17" s="16"/>
      <c r="I17" s="16"/>
      <c r="J17" s="16"/>
      <c r="K17" s="16" t="s">
        <v>23</v>
      </c>
      <c r="L17" s="16"/>
      <c r="M17" s="16" t="s">
        <v>23</v>
      </c>
      <c r="N17" s="16"/>
      <c r="O17" s="16"/>
      <c r="P17" s="16" t="s">
        <v>23</v>
      </c>
      <c r="Q17" s="16"/>
      <c r="R17" s="16" t="s">
        <v>23</v>
      </c>
      <c r="S17" s="16"/>
      <c r="T17" s="16"/>
      <c r="U17" s="16" t="s">
        <v>23</v>
      </c>
      <c r="V17" s="53" t="s">
        <v>155</v>
      </c>
      <c r="W17" s="16" t="s">
        <v>158</v>
      </c>
      <c r="X17" s="54" t="s">
        <v>159</v>
      </c>
    </row>
    <row r="18" spans="1:24" x14ac:dyDescent="0.25">
      <c r="A18" s="25" t="s">
        <v>26</v>
      </c>
      <c r="B18" s="29" t="s">
        <v>8</v>
      </c>
      <c r="C18" s="59" t="s">
        <v>195</v>
      </c>
      <c r="D18" s="68" t="s">
        <v>208</v>
      </c>
      <c r="E18" s="65" t="s">
        <v>49</v>
      </c>
      <c r="F18" s="21" t="s">
        <v>58</v>
      </c>
      <c r="G18" s="16"/>
      <c r="H18" s="16"/>
      <c r="I18" s="16"/>
      <c r="J18" s="16"/>
      <c r="K18" s="16" t="s">
        <v>23</v>
      </c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53"/>
      <c r="W18" s="16"/>
      <c r="X18" s="54"/>
    </row>
    <row r="19" spans="1:24" ht="45" x14ac:dyDescent="0.25">
      <c r="A19" s="25" t="s">
        <v>27</v>
      </c>
      <c r="B19" s="58" t="s">
        <v>7</v>
      </c>
      <c r="C19" s="59" t="s">
        <v>195</v>
      </c>
      <c r="D19" s="68" t="s">
        <v>209</v>
      </c>
      <c r="E19" s="63" t="s">
        <v>211</v>
      </c>
      <c r="F19" s="21" t="s">
        <v>59</v>
      </c>
      <c r="G19" s="16"/>
      <c r="H19" s="16"/>
      <c r="I19" s="16"/>
      <c r="J19" s="16"/>
      <c r="K19" s="16" t="s">
        <v>23</v>
      </c>
      <c r="L19" s="16"/>
      <c r="M19" s="16"/>
      <c r="N19" s="16" t="s">
        <v>23</v>
      </c>
      <c r="O19" s="16" t="s">
        <v>23</v>
      </c>
      <c r="P19" s="16"/>
      <c r="Q19" s="16" t="s">
        <v>23</v>
      </c>
      <c r="R19" s="16" t="s">
        <v>23</v>
      </c>
      <c r="S19" s="16" t="s">
        <v>23</v>
      </c>
      <c r="T19" s="16" t="s">
        <v>23</v>
      </c>
      <c r="U19" s="16"/>
      <c r="V19" s="53" t="s">
        <v>155</v>
      </c>
      <c r="W19" s="16" t="s">
        <v>189</v>
      </c>
      <c r="X19" s="54" t="s">
        <v>190</v>
      </c>
    </row>
    <row r="20" spans="1:24" x14ac:dyDescent="0.25">
      <c r="A20" s="24" t="s">
        <v>28</v>
      </c>
      <c r="B20" s="28" t="s">
        <v>7</v>
      </c>
      <c r="C20" s="59" t="s">
        <v>194</v>
      </c>
      <c r="D20" s="68"/>
      <c r="E20" s="63" t="s">
        <v>48</v>
      </c>
      <c r="F20" s="21" t="s">
        <v>60</v>
      </c>
      <c r="G20" s="16"/>
      <c r="H20" s="16"/>
      <c r="I20" s="16"/>
      <c r="J20" s="16"/>
      <c r="K20" s="16" t="s">
        <v>23</v>
      </c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53" t="s">
        <v>154</v>
      </c>
      <c r="W20" s="16" t="s">
        <v>153</v>
      </c>
      <c r="X20" s="54"/>
    </row>
    <row r="21" spans="1:24" x14ac:dyDescent="0.25">
      <c r="A21" s="24" t="s">
        <v>326</v>
      </c>
      <c r="B21" s="28" t="s">
        <v>7</v>
      </c>
      <c r="C21" s="59" t="s">
        <v>194</v>
      </c>
      <c r="D21" s="68"/>
      <c r="E21" s="63" t="s">
        <v>50</v>
      </c>
      <c r="F21" s="107" t="s">
        <v>69</v>
      </c>
      <c r="G21" s="16"/>
      <c r="H21" s="16"/>
      <c r="I21" s="16"/>
      <c r="J21" s="16"/>
      <c r="K21" s="16" t="s">
        <v>23</v>
      </c>
      <c r="L21" s="16"/>
      <c r="M21" s="16"/>
      <c r="N21" s="16"/>
      <c r="O21" s="16"/>
      <c r="P21" s="16"/>
      <c r="Q21" s="16"/>
      <c r="R21" s="16"/>
      <c r="S21" s="16"/>
      <c r="T21" s="16"/>
      <c r="U21" s="78" t="s">
        <v>23</v>
      </c>
      <c r="V21" s="53" t="s">
        <v>155</v>
      </c>
      <c r="W21" s="16" t="s">
        <v>162</v>
      </c>
      <c r="X21" s="54"/>
    </row>
    <row r="22" spans="1:24" x14ac:dyDescent="0.25">
      <c r="A22" s="24" t="s">
        <v>328</v>
      </c>
      <c r="B22" s="28" t="s">
        <v>7</v>
      </c>
      <c r="C22" s="59" t="s">
        <v>195</v>
      </c>
      <c r="D22" s="68" t="s">
        <v>329</v>
      </c>
      <c r="E22" s="63" t="s">
        <v>50</v>
      </c>
      <c r="F22" s="107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8" t="s">
        <v>23</v>
      </c>
      <c r="S22" s="16"/>
      <c r="T22" s="16"/>
      <c r="U22" s="16"/>
      <c r="V22" s="53"/>
      <c r="W22" s="16"/>
      <c r="X22" s="54"/>
    </row>
    <row r="23" spans="1:24" x14ac:dyDescent="0.25">
      <c r="A23" s="24" t="s">
        <v>32</v>
      </c>
      <c r="B23" s="28" t="s">
        <v>7</v>
      </c>
      <c r="C23" s="59" t="s">
        <v>194</v>
      </c>
      <c r="D23" s="68"/>
      <c r="E23" s="63" t="s">
        <v>50</v>
      </c>
      <c r="F23" s="21" t="s">
        <v>66</v>
      </c>
      <c r="G23" s="16"/>
      <c r="H23" s="16"/>
      <c r="I23" s="16"/>
      <c r="J23" s="16"/>
      <c r="K23" s="16"/>
      <c r="L23" s="16" t="s">
        <v>23</v>
      </c>
      <c r="M23" s="16"/>
      <c r="N23" s="16"/>
      <c r="O23" s="16"/>
      <c r="P23" s="16"/>
      <c r="Q23" s="16"/>
      <c r="R23" s="16"/>
      <c r="S23" s="16"/>
      <c r="T23" s="16"/>
      <c r="U23" s="16"/>
      <c r="V23" s="53" t="s">
        <v>155</v>
      </c>
      <c r="W23" s="16" t="s">
        <v>162</v>
      </c>
      <c r="X23" s="54"/>
    </row>
    <row r="24" spans="1:24" x14ac:dyDescent="0.25">
      <c r="A24" s="24" t="s">
        <v>33</v>
      </c>
      <c r="B24" s="28" t="s">
        <v>7</v>
      </c>
      <c r="C24" s="59" t="s">
        <v>194</v>
      </c>
      <c r="D24" s="68" t="s">
        <v>31</v>
      </c>
      <c r="E24" s="63" t="s">
        <v>50</v>
      </c>
      <c r="F24" s="21" t="s">
        <v>67</v>
      </c>
      <c r="G24" s="16"/>
      <c r="H24" s="16"/>
      <c r="I24" s="16"/>
      <c r="J24" s="16"/>
      <c r="K24" s="16"/>
      <c r="L24" s="16" t="s">
        <v>23</v>
      </c>
      <c r="M24" s="16"/>
      <c r="N24" s="16"/>
      <c r="O24" s="16"/>
      <c r="P24" s="16"/>
      <c r="Q24" s="16"/>
      <c r="R24" s="16"/>
      <c r="S24" s="16"/>
      <c r="T24" s="16"/>
      <c r="U24" s="16"/>
      <c r="V24" s="53" t="s">
        <v>155</v>
      </c>
      <c r="W24" s="16" t="s">
        <v>162</v>
      </c>
      <c r="X24" s="54"/>
    </row>
    <row r="25" spans="1:24" x14ac:dyDescent="0.25">
      <c r="A25" s="24" t="s">
        <v>38</v>
      </c>
      <c r="B25" s="28" t="s">
        <v>7</v>
      </c>
      <c r="C25" s="59" t="s">
        <v>194</v>
      </c>
      <c r="D25" s="68"/>
      <c r="E25" s="63" t="s">
        <v>210</v>
      </c>
      <c r="F25" s="21" t="s">
        <v>91</v>
      </c>
      <c r="G25" s="16"/>
      <c r="H25" s="16"/>
      <c r="I25" s="16"/>
      <c r="J25" s="16"/>
      <c r="K25" s="16"/>
      <c r="L25" s="16"/>
      <c r="M25" s="16" t="s">
        <v>23</v>
      </c>
      <c r="N25" s="16"/>
      <c r="O25" s="16"/>
      <c r="P25" s="16"/>
      <c r="Q25" s="16"/>
      <c r="R25" s="16"/>
      <c r="S25" s="16"/>
      <c r="T25" s="16"/>
      <c r="U25" s="16"/>
      <c r="V25" s="53" t="s">
        <v>155</v>
      </c>
      <c r="W25" s="16" t="s">
        <v>174</v>
      </c>
      <c r="X25" s="54" t="s">
        <v>175</v>
      </c>
    </row>
    <row r="26" spans="1:24" x14ac:dyDescent="0.25">
      <c r="A26" s="24" t="s">
        <v>35</v>
      </c>
      <c r="B26" s="28" t="s">
        <v>8</v>
      </c>
      <c r="C26" s="59" t="s">
        <v>195</v>
      </c>
      <c r="D26" s="68" t="s">
        <v>31</v>
      </c>
      <c r="E26" s="65" t="s">
        <v>49</v>
      </c>
      <c r="F26" s="21" t="s">
        <v>89</v>
      </c>
      <c r="G26" s="16"/>
      <c r="H26" s="16"/>
      <c r="I26" s="16"/>
      <c r="J26" s="16"/>
      <c r="K26" s="16"/>
      <c r="L26" s="16"/>
      <c r="M26" s="16" t="s">
        <v>23</v>
      </c>
      <c r="N26" s="16" t="s">
        <v>23</v>
      </c>
      <c r="O26" s="16"/>
      <c r="P26" s="16"/>
      <c r="Q26" s="16"/>
      <c r="R26" s="16" t="s">
        <v>23</v>
      </c>
      <c r="S26" s="16"/>
      <c r="T26" s="16"/>
      <c r="U26" s="16"/>
      <c r="V26" s="53"/>
      <c r="W26" s="16"/>
      <c r="X26" s="54"/>
    </row>
    <row r="27" spans="1:24" ht="30" x14ac:dyDescent="0.25">
      <c r="A27" s="24" t="s">
        <v>36</v>
      </c>
      <c r="B27" s="28" t="s">
        <v>7</v>
      </c>
      <c r="C27" s="59" t="s">
        <v>194</v>
      </c>
      <c r="D27" s="68" t="s">
        <v>212</v>
      </c>
      <c r="E27" s="63" t="s">
        <v>223</v>
      </c>
      <c r="F27" s="21" t="s">
        <v>36</v>
      </c>
      <c r="G27" s="16"/>
      <c r="H27" s="16"/>
      <c r="I27" s="16"/>
      <c r="J27" s="16"/>
      <c r="K27" s="16"/>
      <c r="L27" s="16"/>
      <c r="M27" s="16" t="s">
        <v>23</v>
      </c>
      <c r="N27" s="16"/>
      <c r="O27" s="16" t="s">
        <v>23</v>
      </c>
      <c r="P27" s="16" t="s">
        <v>23</v>
      </c>
      <c r="Q27" s="16"/>
      <c r="R27" s="16" t="s">
        <v>23</v>
      </c>
      <c r="S27" s="16"/>
      <c r="T27" s="16"/>
      <c r="U27" s="16"/>
      <c r="V27" s="53" t="s">
        <v>155</v>
      </c>
      <c r="W27" s="16" t="s">
        <v>176</v>
      </c>
      <c r="X27" s="54" t="s">
        <v>177</v>
      </c>
    </row>
    <row r="28" spans="1:24" x14ac:dyDescent="0.25">
      <c r="A28" s="24" t="s">
        <v>37</v>
      </c>
      <c r="B28" s="29" t="s">
        <v>8</v>
      </c>
      <c r="C28" s="59" t="s">
        <v>195</v>
      </c>
      <c r="D28" s="68" t="s">
        <v>214</v>
      </c>
      <c r="E28" s="65" t="s">
        <v>49</v>
      </c>
      <c r="F28" s="21" t="s">
        <v>37</v>
      </c>
      <c r="G28" s="16"/>
      <c r="H28" s="16"/>
      <c r="I28" s="16"/>
      <c r="J28" s="16"/>
      <c r="K28" s="16"/>
      <c r="L28" s="16"/>
      <c r="M28" s="16" t="s">
        <v>23</v>
      </c>
      <c r="N28" s="16"/>
      <c r="O28" s="16"/>
      <c r="P28" s="16"/>
      <c r="Q28" s="16"/>
      <c r="R28" s="16"/>
      <c r="S28" s="16"/>
      <c r="T28" s="16"/>
      <c r="U28" s="16"/>
      <c r="V28" s="53"/>
      <c r="W28" s="16"/>
      <c r="X28" s="54"/>
    </row>
    <row r="29" spans="1:24" ht="13.5" customHeight="1" x14ac:dyDescent="0.25">
      <c r="A29" s="24" t="s">
        <v>39</v>
      </c>
      <c r="B29" s="28" t="s">
        <v>8</v>
      </c>
      <c r="C29" s="59" t="s">
        <v>195</v>
      </c>
      <c r="D29" s="68" t="s">
        <v>216</v>
      </c>
      <c r="E29" s="65" t="s">
        <v>49</v>
      </c>
      <c r="F29" s="21" t="s">
        <v>39</v>
      </c>
      <c r="G29" s="16"/>
      <c r="H29" s="16"/>
      <c r="I29" s="16"/>
      <c r="J29" s="16"/>
      <c r="K29" s="16"/>
      <c r="L29" s="16"/>
      <c r="M29" s="16"/>
      <c r="N29" s="16"/>
      <c r="O29" s="16" t="s">
        <v>23</v>
      </c>
      <c r="P29" s="16"/>
      <c r="Q29" s="16"/>
      <c r="R29" s="16"/>
      <c r="S29" s="16"/>
      <c r="T29" s="16"/>
      <c r="U29" s="16"/>
      <c r="V29" s="53"/>
      <c r="W29" s="16"/>
      <c r="X29" s="54"/>
    </row>
    <row r="30" spans="1:24" x14ac:dyDescent="0.25">
      <c r="A30" s="24" t="s">
        <v>41</v>
      </c>
      <c r="B30" s="28" t="s">
        <v>8</v>
      </c>
      <c r="C30" s="59" t="s">
        <v>195</v>
      </c>
      <c r="D30" s="68" t="s">
        <v>31</v>
      </c>
      <c r="E30" s="63" t="s">
        <v>49</v>
      </c>
      <c r="F30" s="21" t="s">
        <v>90</v>
      </c>
      <c r="G30" s="16"/>
      <c r="H30" s="16"/>
      <c r="I30" s="16"/>
      <c r="J30" s="16"/>
      <c r="K30" s="16"/>
      <c r="L30" s="16"/>
      <c r="M30" s="16"/>
      <c r="N30" s="16"/>
      <c r="O30" s="16"/>
      <c r="P30" s="16" t="s">
        <v>23</v>
      </c>
      <c r="Q30" s="16"/>
      <c r="R30" s="16"/>
      <c r="S30" s="16"/>
      <c r="T30" s="16"/>
      <c r="U30" s="16"/>
      <c r="V30" s="53"/>
      <c r="W30" s="16"/>
      <c r="X30" s="54"/>
    </row>
    <row r="31" spans="1:24" x14ac:dyDescent="0.25">
      <c r="A31" s="24" t="s">
        <v>42</v>
      </c>
      <c r="B31" s="28" t="s">
        <v>7</v>
      </c>
      <c r="C31" s="59" t="s">
        <v>194</v>
      </c>
      <c r="D31" s="68"/>
      <c r="E31" s="63" t="s">
        <v>50</v>
      </c>
      <c r="F31" s="21" t="s">
        <v>71</v>
      </c>
      <c r="G31" s="16"/>
      <c r="H31" s="16"/>
      <c r="I31" s="16"/>
      <c r="J31" s="16"/>
      <c r="K31" s="16"/>
      <c r="L31" s="16"/>
      <c r="M31" s="16"/>
      <c r="N31" s="16"/>
      <c r="O31" s="16"/>
      <c r="P31" s="16" t="s">
        <v>23</v>
      </c>
      <c r="Q31" s="16"/>
      <c r="R31" s="16"/>
      <c r="S31" s="16"/>
      <c r="T31" s="16"/>
      <c r="U31" s="16"/>
      <c r="V31" s="53" t="s">
        <v>155</v>
      </c>
      <c r="W31" s="16" t="s">
        <v>162</v>
      </c>
      <c r="X31" s="54"/>
    </row>
    <row r="32" spans="1:24" x14ac:dyDescent="0.25">
      <c r="A32" s="24" t="s">
        <v>44</v>
      </c>
      <c r="B32" s="28" t="s">
        <v>7</v>
      </c>
      <c r="C32" s="59" t="s">
        <v>194</v>
      </c>
      <c r="D32" s="68"/>
      <c r="E32" s="63" t="s">
        <v>48</v>
      </c>
      <c r="F32" s="21" t="s">
        <v>85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 t="s">
        <v>23</v>
      </c>
      <c r="R32" s="16"/>
      <c r="S32" s="16"/>
      <c r="T32" s="16"/>
      <c r="U32" s="16" t="s">
        <v>23</v>
      </c>
      <c r="V32" s="53" t="s">
        <v>154</v>
      </c>
      <c r="W32" s="16" t="s">
        <v>153</v>
      </c>
      <c r="X32" s="54"/>
    </row>
    <row r="33" spans="1:24" x14ac:dyDescent="0.25">
      <c r="A33" s="24" t="s">
        <v>43</v>
      </c>
      <c r="B33" s="28" t="s">
        <v>7</v>
      </c>
      <c r="C33" s="59" t="s">
        <v>194</v>
      </c>
      <c r="D33" s="68"/>
      <c r="E33" s="63" t="s">
        <v>217</v>
      </c>
      <c r="F33" s="21" t="s">
        <v>72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 t="s">
        <v>23</v>
      </c>
      <c r="R33" s="16" t="s">
        <v>23</v>
      </c>
      <c r="S33" s="16"/>
      <c r="T33" s="16" t="s">
        <v>23</v>
      </c>
      <c r="U33" s="16"/>
      <c r="V33" s="53" t="s">
        <v>155</v>
      </c>
      <c r="W33" s="16" t="s">
        <v>162</v>
      </c>
      <c r="X33" s="54"/>
    </row>
    <row r="34" spans="1:24" x14ac:dyDescent="0.25">
      <c r="A34" s="26" t="s">
        <v>46</v>
      </c>
      <c r="B34" s="28" t="s">
        <v>7</v>
      </c>
      <c r="C34" s="59" t="s">
        <v>194</v>
      </c>
      <c r="D34" s="69"/>
      <c r="E34" s="63" t="s">
        <v>48</v>
      </c>
      <c r="F34" s="21" t="s">
        <v>88</v>
      </c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 t="s">
        <v>23</v>
      </c>
      <c r="S34" s="16"/>
      <c r="T34" s="16"/>
      <c r="U34" s="16" t="s">
        <v>23</v>
      </c>
      <c r="V34" s="53" t="s">
        <v>154</v>
      </c>
      <c r="W34" s="16" t="s">
        <v>153</v>
      </c>
      <c r="X34" s="54"/>
    </row>
    <row r="35" spans="1:24" x14ac:dyDescent="0.25">
      <c r="A35" s="24" t="s">
        <v>51</v>
      </c>
      <c r="B35" s="28" t="s">
        <v>7</v>
      </c>
      <c r="C35" s="59" t="s">
        <v>194</v>
      </c>
      <c r="D35" s="68"/>
      <c r="E35" s="63" t="s">
        <v>48</v>
      </c>
      <c r="F35" s="21" t="s">
        <v>77</v>
      </c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 t="s">
        <v>23</v>
      </c>
      <c r="T35" s="17"/>
      <c r="U35" s="16"/>
      <c r="V35" s="53" t="s">
        <v>154</v>
      </c>
      <c r="W35" s="16" t="s">
        <v>153</v>
      </c>
      <c r="X35" s="54"/>
    </row>
    <row r="36" spans="1:24" ht="30" x14ac:dyDescent="0.25">
      <c r="A36" s="25" t="s">
        <v>52</v>
      </c>
      <c r="B36" s="29" t="s">
        <v>8</v>
      </c>
      <c r="C36" s="59" t="s">
        <v>195</v>
      </c>
      <c r="D36" s="68" t="s">
        <v>218</v>
      </c>
      <c r="E36" s="65" t="s">
        <v>49</v>
      </c>
      <c r="F36" s="21" t="s">
        <v>74</v>
      </c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 t="s">
        <v>23</v>
      </c>
      <c r="T36" s="17"/>
      <c r="U36" s="16"/>
      <c r="V36" s="53"/>
      <c r="W36" s="16"/>
      <c r="X36" s="54"/>
    </row>
    <row r="37" spans="1:24" x14ac:dyDescent="0.25">
      <c r="A37" s="24" t="s">
        <v>53</v>
      </c>
      <c r="B37" s="28" t="s">
        <v>7</v>
      </c>
      <c r="C37" s="59" t="s">
        <v>194</v>
      </c>
      <c r="D37" s="68"/>
      <c r="E37" s="64" t="s">
        <v>50</v>
      </c>
      <c r="F37" s="21" t="s">
        <v>53</v>
      </c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 t="s">
        <v>23</v>
      </c>
      <c r="U37" s="16"/>
      <c r="V37" s="53" t="s">
        <v>155</v>
      </c>
      <c r="W37" s="16" t="s">
        <v>162</v>
      </c>
      <c r="X37" s="54"/>
    </row>
    <row r="38" spans="1:24" x14ac:dyDescent="0.25">
      <c r="A38" s="25" t="s">
        <v>75</v>
      </c>
      <c r="B38" s="28" t="s">
        <v>7</v>
      </c>
      <c r="C38" s="59" t="s">
        <v>195</v>
      </c>
      <c r="D38" s="71" t="s">
        <v>220</v>
      </c>
      <c r="E38" s="63" t="s">
        <v>219</v>
      </c>
      <c r="F38" s="21" t="s">
        <v>76</v>
      </c>
      <c r="G38" s="16"/>
      <c r="H38" s="77" t="s">
        <v>23</v>
      </c>
      <c r="I38" s="77" t="s">
        <v>23</v>
      </c>
      <c r="J38" s="78" t="s">
        <v>23</v>
      </c>
      <c r="K38" s="77"/>
      <c r="L38" s="77"/>
      <c r="M38" s="77"/>
      <c r="N38" s="78" t="s">
        <v>23</v>
      </c>
      <c r="O38" s="78" t="s">
        <v>23</v>
      </c>
      <c r="P38" s="16"/>
      <c r="Q38" s="16"/>
      <c r="R38" s="16"/>
      <c r="S38" s="16" t="s">
        <v>23</v>
      </c>
      <c r="T38" s="16"/>
      <c r="U38" s="16"/>
      <c r="V38" s="53" t="s">
        <v>155</v>
      </c>
      <c r="W38" s="16" t="s">
        <v>179</v>
      </c>
      <c r="X38" s="54" t="s">
        <v>178</v>
      </c>
    </row>
    <row r="39" spans="1:24" ht="30" x14ac:dyDescent="0.25">
      <c r="A39" s="25" t="s">
        <v>79</v>
      </c>
      <c r="B39" s="28" t="s">
        <v>8</v>
      </c>
      <c r="C39" s="59" t="s">
        <v>195</v>
      </c>
      <c r="D39" s="68" t="s">
        <v>221</v>
      </c>
      <c r="E39" s="63"/>
      <c r="F39" s="21" t="s">
        <v>78</v>
      </c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 t="s">
        <v>23</v>
      </c>
      <c r="U39" s="16"/>
      <c r="V39" s="53" t="s">
        <v>154</v>
      </c>
      <c r="W39" s="16" t="s">
        <v>153</v>
      </c>
      <c r="X39" s="54"/>
    </row>
    <row r="40" spans="1:24" x14ac:dyDescent="0.25">
      <c r="A40" s="25" t="s">
        <v>81</v>
      </c>
      <c r="B40" s="28" t="s">
        <v>7</v>
      </c>
      <c r="C40" s="59" t="s">
        <v>194</v>
      </c>
      <c r="D40" s="68"/>
      <c r="E40" s="63" t="s">
        <v>48</v>
      </c>
      <c r="F40" s="21" t="s">
        <v>82</v>
      </c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 t="s">
        <v>23</v>
      </c>
      <c r="U40" s="16"/>
      <c r="V40" s="53" t="s">
        <v>154</v>
      </c>
      <c r="W40" s="16" t="s">
        <v>153</v>
      </c>
      <c r="X40" s="54"/>
    </row>
    <row r="41" spans="1:24" x14ac:dyDescent="0.25">
      <c r="A41" s="25" t="s">
        <v>83</v>
      </c>
      <c r="B41" s="28" t="s">
        <v>7</v>
      </c>
      <c r="C41" s="59" t="s">
        <v>194</v>
      </c>
      <c r="D41" s="68"/>
      <c r="E41" s="63" t="s">
        <v>48</v>
      </c>
      <c r="F41" s="21" t="s">
        <v>86</v>
      </c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 t="s">
        <v>23</v>
      </c>
      <c r="V41" s="53" t="s">
        <v>154</v>
      </c>
      <c r="W41" s="16" t="s">
        <v>153</v>
      </c>
      <c r="X41" s="54"/>
    </row>
    <row r="42" spans="1:24" ht="30.75" thickBot="1" x14ac:dyDescent="0.3">
      <c r="A42" s="82" t="s">
        <v>84</v>
      </c>
      <c r="B42" s="30" t="s">
        <v>8</v>
      </c>
      <c r="C42" s="61" t="s">
        <v>195</v>
      </c>
      <c r="D42" s="70" t="s">
        <v>198</v>
      </c>
      <c r="E42" s="72" t="s">
        <v>49</v>
      </c>
      <c r="F42" s="22" t="s">
        <v>87</v>
      </c>
      <c r="G42" s="18"/>
      <c r="H42" s="18" t="s">
        <v>23</v>
      </c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 t="s">
        <v>23</v>
      </c>
      <c r="V42" s="55"/>
      <c r="W42" s="18"/>
      <c r="X42" s="56"/>
    </row>
    <row r="45" spans="1:24" ht="21" x14ac:dyDescent="0.35">
      <c r="A45" s="19"/>
    </row>
  </sheetData>
  <mergeCells count="1">
    <mergeCell ref="A1:F2"/>
  </mergeCells>
  <phoneticPr fontId="8" type="noConversion"/>
  <conditionalFormatting sqref="B5:C42">
    <cfRule type="containsText" dxfId="112" priority="3" operator="containsText" text="messbar">
      <formula>NOT(ISERROR(SEARCH("messbar",B5)))</formula>
    </cfRule>
    <cfRule type="containsText" dxfId="111" priority="4" operator="containsText" text="visuell">
      <formula>NOT(ISERROR(SEARCH("visuell",B5)))</formula>
    </cfRule>
  </conditionalFormatting>
  <conditionalFormatting sqref="C5:C42">
    <cfRule type="expression" dxfId="110" priority="1">
      <formula>COUNTIF($C5,"*offen*")</formula>
    </cfRule>
    <cfRule type="containsText" dxfId="109" priority="2" operator="containsText" text="abgeschlossen">
      <formula>NOT(ISERROR(SEARCH("abgeschlossen",C5)))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8498-F239-458F-B372-8D5C743CF7C3}">
  <dimension ref="A1:AB48"/>
  <sheetViews>
    <sheetView zoomScaleNormal="100" workbookViewId="0">
      <pane xSplit="1" topLeftCell="B1" activePane="topRight" state="frozen"/>
      <selection pane="topRight" activeCell="B3" sqref="B3"/>
    </sheetView>
  </sheetViews>
  <sheetFormatPr baseColWidth="10" defaultRowHeight="15" x14ac:dyDescent="0.25"/>
  <cols>
    <col min="1" max="1" width="42.5703125" style="46" bestFit="1" customWidth="1"/>
    <col min="2" max="2" width="25.7109375" style="46" bestFit="1" customWidth="1"/>
    <col min="3" max="3" width="14" style="46" bestFit="1" customWidth="1"/>
    <col min="4" max="4" width="17.7109375" customWidth="1"/>
    <col min="5" max="6" width="12.28515625" customWidth="1"/>
    <col min="7" max="7" width="14.85546875" bestFit="1" customWidth="1"/>
    <col min="8" max="9" width="9.42578125" bestFit="1" customWidth="1"/>
    <col min="10" max="10" width="23.42578125" style="35" bestFit="1" customWidth="1"/>
    <col min="11" max="11" width="15.85546875" style="35" bestFit="1" customWidth="1"/>
    <col min="12" max="12" width="18" style="35" bestFit="1" customWidth="1"/>
    <col min="13" max="14" width="15.85546875" bestFit="1" customWidth="1"/>
    <col min="15" max="15" width="9.5703125" customWidth="1"/>
    <col min="16" max="16" width="15.5703125" customWidth="1"/>
    <col min="17" max="17" width="18.42578125" customWidth="1"/>
    <col min="18" max="18" width="23.85546875" customWidth="1"/>
    <col min="19" max="19" width="15.85546875" customWidth="1"/>
    <col min="20" max="20" width="14.42578125" customWidth="1"/>
    <col min="21" max="21" width="17" customWidth="1"/>
    <col min="22" max="22" width="20.42578125" customWidth="1"/>
    <col min="23" max="23" width="19.7109375" customWidth="1"/>
    <col min="24" max="24" width="27.7109375" customWidth="1"/>
    <col min="25" max="25" width="13.42578125" customWidth="1"/>
    <col min="26" max="26" width="31.7109375" customWidth="1"/>
    <col min="27" max="27" width="35.7109375" customWidth="1"/>
    <col min="28" max="28" width="30.85546875" bestFit="1" customWidth="1"/>
  </cols>
  <sheetData>
    <row r="1" spans="1:28" s="46" customFormat="1" ht="15.75" thickBot="1" x14ac:dyDescent="0.3">
      <c r="A1" s="123" t="s">
        <v>249</v>
      </c>
      <c r="B1" s="123" t="s">
        <v>311</v>
      </c>
      <c r="C1" s="123" t="s">
        <v>340</v>
      </c>
      <c r="D1" s="93" t="s">
        <v>151</v>
      </c>
      <c r="E1" s="93" t="s">
        <v>152</v>
      </c>
      <c r="F1" s="93" t="s">
        <v>156</v>
      </c>
      <c r="G1" s="93" t="s">
        <v>364</v>
      </c>
      <c r="H1" s="93" t="s">
        <v>365</v>
      </c>
      <c r="I1" s="93" t="s">
        <v>366</v>
      </c>
      <c r="J1" s="93" t="s">
        <v>274</v>
      </c>
      <c r="K1" s="93" t="s">
        <v>275</v>
      </c>
      <c r="L1" s="93" t="s">
        <v>323</v>
      </c>
      <c r="M1" s="93" t="s">
        <v>324</v>
      </c>
      <c r="N1" s="93" t="s">
        <v>325</v>
      </c>
      <c r="O1" s="114" t="s">
        <v>10</v>
      </c>
      <c r="P1" s="93" t="s">
        <v>12</v>
      </c>
      <c r="Q1" s="93" t="s">
        <v>18</v>
      </c>
      <c r="R1" s="93" t="s">
        <v>144</v>
      </c>
      <c r="S1" s="93" t="s">
        <v>24</v>
      </c>
      <c r="T1" s="93" t="s">
        <v>65</v>
      </c>
      <c r="U1" s="93" t="s">
        <v>34</v>
      </c>
      <c r="V1" s="93" t="s">
        <v>146</v>
      </c>
      <c r="W1" s="93" t="s">
        <v>40</v>
      </c>
      <c r="X1" s="93" t="s">
        <v>147</v>
      </c>
      <c r="Y1" s="93" t="s">
        <v>45</v>
      </c>
      <c r="Z1" s="93" t="s">
        <v>148</v>
      </c>
      <c r="AA1" s="93" t="s">
        <v>149</v>
      </c>
      <c r="AB1" s="93" t="s">
        <v>150</v>
      </c>
    </row>
    <row r="2" spans="1:28" ht="15.75" thickBot="1" x14ac:dyDescent="0.3">
      <c r="A2" s="126" t="s">
        <v>307</v>
      </c>
      <c r="B2" s="109" t="s">
        <v>331</v>
      </c>
      <c r="C2" s="178" t="s">
        <v>341</v>
      </c>
      <c r="D2" s="131" t="s">
        <v>154</v>
      </c>
      <c r="E2" s="122" t="s">
        <v>153</v>
      </c>
      <c r="F2" s="136"/>
      <c r="G2" s="146"/>
      <c r="H2" s="146"/>
      <c r="I2" s="150"/>
      <c r="J2" s="134" t="s">
        <v>333</v>
      </c>
      <c r="K2" s="121"/>
      <c r="L2" s="121"/>
      <c r="M2" s="121"/>
      <c r="N2" s="141"/>
      <c r="O2" s="108" t="s">
        <v>23</v>
      </c>
      <c r="P2" s="89" t="s">
        <v>23</v>
      </c>
      <c r="Q2" s="92" t="s">
        <v>23</v>
      </c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</row>
    <row r="3" spans="1:28" ht="15.75" thickBot="1" x14ac:dyDescent="0.3">
      <c r="A3" s="127" t="s">
        <v>3</v>
      </c>
      <c r="B3" s="110" t="s">
        <v>332</v>
      </c>
      <c r="C3" s="179" t="s">
        <v>341</v>
      </c>
      <c r="D3" s="132" t="s">
        <v>154</v>
      </c>
      <c r="E3" s="116" t="s">
        <v>153</v>
      </c>
      <c r="F3" s="137"/>
      <c r="G3" s="147">
        <v>0.8</v>
      </c>
      <c r="H3" s="146">
        <v>0.2</v>
      </c>
      <c r="I3" s="151"/>
      <c r="J3" s="112"/>
      <c r="K3" s="91"/>
      <c r="L3" s="91"/>
      <c r="M3" s="91"/>
      <c r="N3" s="142"/>
      <c r="O3" s="108" t="s">
        <v>23</v>
      </c>
      <c r="P3" s="85"/>
      <c r="Q3" s="85" t="s">
        <v>259</v>
      </c>
      <c r="R3" s="85"/>
      <c r="S3" s="85"/>
      <c r="T3" s="85"/>
      <c r="U3" s="85"/>
      <c r="V3" s="85"/>
      <c r="W3" s="85"/>
      <c r="X3" s="85" t="s">
        <v>259</v>
      </c>
      <c r="Y3" s="85" t="s">
        <v>259</v>
      </c>
      <c r="Z3" s="85"/>
      <c r="AA3" s="85" t="s">
        <v>259</v>
      </c>
      <c r="AB3" s="85" t="s">
        <v>259</v>
      </c>
    </row>
    <row r="4" spans="1:28" ht="15.75" thickBot="1" x14ac:dyDescent="0.3">
      <c r="A4" s="127" t="s">
        <v>276</v>
      </c>
      <c r="B4" s="110" t="s">
        <v>333</v>
      </c>
      <c r="C4" s="179" t="s">
        <v>341</v>
      </c>
      <c r="D4" s="132" t="s">
        <v>172</v>
      </c>
      <c r="E4" s="116" t="s">
        <v>173</v>
      </c>
      <c r="F4" s="137"/>
      <c r="G4" s="147"/>
      <c r="H4" s="147"/>
      <c r="I4" s="151"/>
      <c r="J4" s="113" t="s">
        <v>322</v>
      </c>
      <c r="K4" s="117"/>
      <c r="L4" s="91"/>
      <c r="M4" s="91"/>
      <c r="N4" s="142"/>
      <c r="O4" s="108" t="s">
        <v>23</v>
      </c>
      <c r="P4" s="85" t="s">
        <v>23</v>
      </c>
      <c r="Q4" s="86" t="s">
        <v>23</v>
      </c>
      <c r="R4" s="85"/>
      <c r="S4" s="85"/>
      <c r="T4" s="85"/>
      <c r="U4" s="88" t="s">
        <v>259</v>
      </c>
      <c r="V4" s="85"/>
      <c r="W4" s="85"/>
      <c r="X4" s="85"/>
      <c r="Y4" s="85"/>
      <c r="Z4" s="85"/>
      <c r="AA4" s="85"/>
      <c r="AB4" s="85"/>
    </row>
    <row r="5" spans="1:28" s="46" customFormat="1" ht="15.75" thickBot="1" x14ac:dyDescent="0.3">
      <c r="A5" s="127" t="s">
        <v>295</v>
      </c>
      <c r="B5" s="110" t="s">
        <v>55</v>
      </c>
      <c r="C5" s="179" t="s">
        <v>341</v>
      </c>
      <c r="D5" s="124" t="s">
        <v>154</v>
      </c>
      <c r="E5" s="115" t="s">
        <v>153</v>
      </c>
      <c r="F5" s="138"/>
      <c r="G5" s="148"/>
      <c r="H5" s="148"/>
      <c r="I5" s="110"/>
      <c r="J5" s="135" t="s">
        <v>332</v>
      </c>
      <c r="K5" s="118"/>
      <c r="L5" s="118"/>
      <c r="M5" s="118"/>
      <c r="N5" s="143"/>
      <c r="O5" s="108" t="s">
        <v>23</v>
      </c>
      <c r="P5" s="85"/>
      <c r="Q5" s="86" t="s">
        <v>23</v>
      </c>
      <c r="R5" s="85"/>
      <c r="S5" s="85"/>
      <c r="T5" s="85"/>
      <c r="U5" s="85"/>
      <c r="V5" s="85"/>
      <c r="W5" s="85"/>
      <c r="X5" s="85" t="s">
        <v>23</v>
      </c>
      <c r="Y5" s="85" t="s">
        <v>23</v>
      </c>
      <c r="Z5" s="85"/>
      <c r="AA5" s="85" t="s">
        <v>23</v>
      </c>
      <c r="AB5" s="85" t="s">
        <v>23</v>
      </c>
    </row>
    <row r="6" spans="1:28" ht="15.75" thickBot="1" x14ac:dyDescent="0.3">
      <c r="A6" s="127" t="s">
        <v>13</v>
      </c>
      <c r="B6" s="110" t="s">
        <v>334</v>
      </c>
      <c r="C6" s="179" t="s">
        <v>341</v>
      </c>
      <c r="D6" s="132" t="s">
        <v>172</v>
      </c>
      <c r="E6" s="116" t="s">
        <v>173</v>
      </c>
      <c r="F6" s="137"/>
      <c r="G6" s="147">
        <v>0.95</v>
      </c>
      <c r="H6" s="147">
        <v>0.05</v>
      </c>
      <c r="I6" s="151"/>
      <c r="J6" s="112"/>
      <c r="K6" s="91"/>
      <c r="L6" s="91"/>
      <c r="M6" s="91"/>
      <c r="N6" s="142"/>
      <c r="O6" s="108"/>
      <c r="P6" s="85" t="s">
        <v>23</v>
      </c>
      <c r="Q6" s="85"/>
      <c r="R6" s="85"/>
      <c r="S6" s="85" t="s">
        <v>23</v>
      </c>
      <c r="T6" s="85"/>
      <c r="U6" s="85"/>
      <c r="V6" s="85"/>
      <c r="W6" s="85"/>
      <c r="X6" s="85"/>
      <c r="Y6" s="85"/>
      <c r="Z6" s="85"/>
      <c r="AA6" s="85"/>
      <c r="AB6" s="85"/>
    </row>
    <row r="7" spans="1:28" ht="15.75" thickBot="1" x14ac:dyDescent="0.3">
      <c r="A7" s="127" t="s">
        <v>14</v>
      </c>
      <c r="B7" s="110" t="s">
        <v>335</v>
      </c>
      <c r="C7" s="179" t="s">
        <v>341</v>
      </c>
      <c r="D7" s="132" t="s">
        <v>343</v>
      </c>
      <c r="E7" s="116" t="s">
        <v>344</v>
      </c>
      <c r="F7" s="137" t="s">
        <v>345</v>
      </c>
      <c r="G7" s="147"/>
      <c r="H7" s="147"/>
      <c r="I7" s="151"/>
      <c r="J7" s="112" t="s">
        <v>76</v>
      </c>
      <c r="K7" s="91"/>
      <c r="L7" s="91"/>
      <c r="M7" s="91"/>
      <c r="N7" s="142"/>
      <c r="O7" s="108"/>
      <c r="P7" s="85" t="s">
        <v>23</v>
      </c>
      <c r="Q7" s="86" t="s">
        <v>23</v>
      </c>
      <c r="R7" s="86" t="s">
        <v>23</v>
      </c>
      <c r="S7" s="85"/>
      <c r="T7" s="85"/>
      <c r="U7" s="85"/>
      <c r="V7" s="85" t="s">
        <v>23</v>
      </c>
      <c r="W7" s="85"/>
      <c r="X7" s="85"/>
      <c r="Y7" s="85"/>
      <c r="Z7" s="85" t="s">
        <v>23</v>
      </c>
      <c r="AA7" s="85"/>
      <c r="AB7" s="85"/>
    </row>
    <row r="8" spans="1:28" ht="15.75" thickBot="1" x14ac:dyDescent="0.3">
      <c r="A8" s="127" t="s">
        <v>56</v>
      </c>
      <c r="B8" s="110" t="s">
        <v>56</v>
      </c>
      <c r="C8" s="179" t="s">
        <v>342</v>
      </c>
      <c r="D8" s="132" t="s">
        <v>343</v>
      </c>
      <c r="E8" s="116" t="s">
        <v>344</v>
      </c>
      <c r="F8" s="137" t="s">
        <v>345</v>
      </c>
      <c r="G8" s="147">
        <v>0.7</v>
      </c>
      <c r="H8" s="147">
        <v>0.2</v>
      </c>
      <c r="I8" s="151">
        <f>IF(ISBLANK(Tabelle5[[#This Row],[Zustand_3]]),0,1-Tabelle5[[#This Row],[Prob_default]]-Tabelle5[[#This Row],[Prob_2]])</f>
        <v>0.10000000000000003</v>
      </c>
      <c r="J8" s="112"/>
      <c r="K8" s="91"/>
      <c r="L8" s="91"/>
      <c r="M8" s="91"/>
      <c r="N8" s="142"/>
      <c r="O8" s="108"/>
      <c r="P8" s="86" t="s">
        <v>23</v>
      </c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</row>
    <row r="9" spans="1:28" ht="15.75" thickBot="1" x14ac:dyDescent="0.3">
      <c r="A9" s="127" t="s">
        <v>310</v>
      </c>
      <c r="B9" s="110" t="s">
        <v>336</v>
      </c>
      <c r="C9" s="179" t="s">
        <v>341</v>
      </c>
      <c r="D9" s="132" t="s">
        <v>172</v>
      </c>
      <c r="E9" s="116" t="s">
        <v>173</v>
      </c>
      <c r="F9" s="137"/>
      <c r="G9" s="147"/>
      <c r="H9" s="147"/>
      <c r="I9" s="151"/>
      <c r="J9" s="113" t="s">
        <v>320</v>
      </c>
      <c r="K9" s="119" t="s">
        <v>321</v>
      </c>
      <c r="L9" s="119" t="s">
        <v>322</v>
      </c>
      <c r="M9" s="117"/>
      <c r="N9" s="144"/>
      <c r="O9" s="108"/>
      <c r="P9" s="85" t="s">
        <v>23</v>
      </c>
      <c r="Q9" s="85"/>
      <c r="R9" s="85"/>
      <c r="S9" s="85"/>
      <c r="T9" s="85"/>
      <c r="U9" s="88"/>
      <c r="V9" s="85"/>
      <c r="W9" s="85"/>
      <c r="X9" s="85"/>
      <c r="Y9" s="85"/>
      <c r="Z9" s="85"/>
      <c r="AA9" s="85"/>
      <c r="AB9" s="85"/>
    </row>
    <row r="10" spans="1:28" ht="15.75" thickBot="1" x14ac:dyDescent="0.3">
      <c r="A10" s="127" t="s">
        <v>19</v>
      </c>
      <c r="B10" s="110" t="s">
        <v>337</v>
      </c>
      <c r="C10" s="179" t="s">
        <v>341</v>
      </c>
      <c r="D10" s="132" t="s">
        <v>172</v>
      </c>
      <c r="E10" s="116" t="s">
        <v>173</v>
      </c>
      <c r="F10" s="137"/>
      <c r="G10" s="147"/>
      <c r="H10" s="147"/>
      <c r="I10" s="151"/>
      <c r="J10" s="113" t="s">
        <v>318</v>
      </c>
      <c r="K10" s="119" t="s">
        <v>319</v>
      </c>
      <c r="L10" s="119" t="s">
        <v>320</v>
      </c>
      <c r="M10" s="119" t="s">
        <v>321</v>
      </c>
      <c r="N10" s="144"/>
      <c r="O10" s="108"/>
      <c r="P10" s="85"/>
      <c r="Q10" s="85" t="s">
        <v>23</v>
      </c>
      <c r="R10" s="85" t="s">
        <v>23</v>
      </c>
      <c r="S10" s="85" t="s">
        <v>23</v>
      </c>
      <c r="T10" s="86" t="s">
        <v>23</v>
      </c>
      <c r="U10" s="88" t="s">
        <v>259</v>
      </c>
      <c r="V10" s="86" t="s">
        <v>23</v>
      </c>
      <c r="W10" s="86" t="s">
        <v>23</v>
      </c>
      <c r="X10" s="86" t="s">
        <v>23</v>
      </c>
      <c r="Y10" s="86" t="s">
        <v>23</v>
      </c>
      <c r="Z10" s="86" t="s">
        <v>23</v>
      </c>
      <c r="AA10" s="86" t="s">
        <v>23</v>
      </c>
      <c r="AB10" s="85" t="s">
        <v>23</v>
      </c>
    </row>
    <row r="11" spans="1:28" ht="15.75" thickBot="1" x14ac:dyDescent="0.3">
      <c r="A11" s="127" t="s">
        <v>21</v>
      </c>
      <c r="B11" s="110" t="s">
        <v>349</v>
      </c>
      <c r="C11" s="179" t="s">
        <v>342</v>
      </c>
      <c r="D11" s="132" t="s">
        <v>343</v>
      </c>
      <c r="E11" s="116" t="s">
        <v>344</v>
      </c>
      <c r="F11" s="137" t="s">
        <v>345</v>
      </c>
      <c r="G11" s="147"/>
      <c r="H11" s="147"/>
      <c r="I11" s="151"/>
      <c r="J11" s="135" t="s">
        <v>338</v>
      </c>
      <c r="K11" s="91"/>
      <c r="L11" s="91"/>
      <c r="M11" s="91"/>
      <c r="N11" s="142"/>
      <c r="O11" s="108"/>
      <c r="P11" s="85"/>
      <c r="Q11" s="85"/>
      <c r="R11" s="86" t="s">
        <v>23</v>
      </c>
      <c r="S11" s="85"/>
      <c r="T11" s="85" t="s">
        <v>23</v>
      </c>
      <c r="U11" s="85" t="s">
        <v>23</v>
      </c>
      <c r="V11" s="86" t="s">
        <v>23</v>
      </c>
      <c r="W11" s="86" t="s">
        <v>23</v>
      </c>
      <c r="X11" s="85"/>
      <c r="Y11" s="85"/>
      <c r="Z11" s="86" t="s">
        <v>23</v>
      </c>
      <c r="AA11" s="85"/>
      <c r="AB11" s="85"/>
    </row>
    <row r="12" spans="1:28" ht="15.75" thickBot="1" x14ac:dyDescent="0.3">
      <c r="A12" s="127" t="s">
        <v>22</v>
      </c>
      <c r="B12" s="110" t="s">
        <v>338</v>
      </c>
      <c r="C12" s="179" t="s">
        <v>342</v>
      </c>
      <c r="D12" s="132" t="s">
        <v>343</v>
      </c>
      <c r="E12" s="116" t="s">
        <v>344</v>
      </c>
      <c r="F12" s="137" t="s">
        <v>345</v>
      </c>
      <c r="G12" s="147">
        <v>0.7</v>
      </c>
      <c r="H12" s="147">
        <v>0.15</v>
      </c>
      <c r="I12" s="151">
        <f>IF(ISBLANK(Tabelle5[[#This Row],[Zustand_3]]),0,1-Tabelle5[[#This Row],[Prob_default]]-Tabelle5[[#This Row],[Prob_2]])</f>
        <v>0.15000000000000005</v>
      </c>
      <c r="J12" s="112"/>
      <c r="K12" s="91"/>
      <c r="L12" s="91"/>
      <c r="M12" s="91"/>
      <c r="N12" s="142"/>
      <c r="O12" s="108"/>
      <c r="P12" s="85"/>
      <c r="Q12" s="85"/>
      <c r="R12" s="85" t="s">
        <v>23</v>
      </c>
      <c r="S12" s="85"/>
      <c r="T12" s="85" t="s">
        <v>23</v>
      </c>
      <c r="U12" s="85" t="s">
        <v>23</v>
      </c>
      <c r="V12" s="86" t="s">
        <v>23</v>
      </c>
      <c r="W12" s="86" t="s">
        <v>23</v>
      </c>
      <c r="X12" s="85"/>
      <c r="Y12" s="85"/>
      <c r="Z12" s="85" t="s">
        <v>23</v>
      </c>
      <c r="AA12" s="85"/>
      <c r="AB12" s="85" t="s">
        <v>23</v>
      </c>
    </row>
    <row r="13" spans="1:28" ht="15.75" thickBot="1" x14ac:dyDescent="0.3">
      <c r="A13" s="127" t="s">
        <v>302</v>
      </c>
      <c r="B13" s="110" t="s">
        <v>350</v>
      </c>
      <c r="C13" s="179" t="s">
        <v>341</v>
      </c>
      <c r="D13" s="132" t="s">
        <v>172</v>
      </c>
      <c r="E13" s="116" t="s">
        <v>173</v>
      </c>
      <c r="F13" s="137"/>
      <c r="G13" s="147">
        <v>0.6</v>
      </c>
      <c r="H13" s="147">
        <v>0.4</v>
      </c>
      <c r="I13" s="151"/>
      <c r="J13" s="112"/>
      <c r="K13" s="91"/>
      <c r="L13" s="91"/>
      <c r="M13" s="91"/>
      <c r="N13" s="142"/>
      <c r="O13" s="108"/>
      <c r="P13" s="85"/>
      <c r="Q13" s="85"/>
      <c r="R13" s="85"/>
      <c r="S13" s="85" t="s">
        <v>23</v>
      </c>
      <c r="T13" s="85"/>
      <c r="U13" s="85" t="s">
        <v>23</v>
      </c>
      <c r="V13" s="85"/>
      <c r="W13" s="85" t="s">
        <v>23</v>
      </c>
      <c r="X13" s="85"/>
      <c r="Y13" s="85" t="s">
        <v>23</v>
      </c>
      <c r="Z13" s="85"/>
      <c r="AA13" s="85"/>
      <c r="AB13" s="85" t="s">
        <v>23</v>
      </c>
    </row>
    <row r="14" spans="1:28" ht="15.75" thickBot="1" x14ac:dyDescent="0.3">
      <c r="A14" s="127" t="s">
        <v>303</v>
      </c>
      <c r="B14" s="110" t="s">
        <v>339</v>
      </c>
      <c r="C14" s="179" t="s">
        <v>341</v>
      </c>
      <c r="D14" s="132" t="s">
        <v>172</v>
      </c>
      <c r="E14" s="116" t="s">
        <v>173</v>
      </c>
      <c r="F14" s="137"/>
      <c r="G14" s="147"/>
      <c r="H14" s="147"/>
      <c r="I14" s="151"/>
      <c r="J14" s="113" t="s">
        <v>314</v>
      </c>
      <c r="K14" s="117"/>
      <c r="L14" s="91"/>
      <c r="M14" s="91"/>
      <c r="N14" s="142"/>
      <c r="O14" s="108"/>
      <c r="P14" s="85"/>
      <c r="Q14" s="85"/>
      <c r="R14" s="85"/>
      <c r="S14" s="85" t="s">
        <v>23</v>
      </c>
      <c r="T14" s="85"/>
      <c r="U14" s="85"/>
      <c r="V14" s="85"/>
      <c r="W14" s="85"/>
      <c r="X14" s="85"/>
      <c r="Y14" s="85"/>
      <c r="Z14" s="85"/>
      <c r="AA14" s="85"/>
      <c r="AB14" s="85"/>
    </row>
    <row r="15" spans="1:28" ht="15.75" thickBot="1" x14ac:dyDescent="0.3">
      <c r="A15" s="128" t="s">
        <v>27</v>
      </c>
      <c r="B15" s="111" t="s">
        <v>348</v>
      </c>
      <c r="C15" s="180" t="s">
        <v>341</v>
      </c>
      <c r="D15" s="132" t="s">
        <v>172</v>
      </c>
      <c r="E15" s="116" t="s">
        <v>362</v>
      </c>
      <c r="F15" s="137" t="s">
        <v>363</v>
      </c>
      <c r="G15" s="147">
        <v>0.9</v>
      </c>
      <c r="H15" s="147">
        <v>0.09</v>
      </c>
      <c r="I15" s="151">
        <f>IF(ISBLANK(Tabelle5[[#This Row],[Zustand_3]]),0,1-Tabelle5[[#This Row],[Prob_default]]-Tabelle5[[#This Row],[Prob_2]])</f>
        <v>9.9999999999999811E-3</v>
      </c>
      <c r="J15" s="112"/>
      <c r="K15" s="91"/>
      <c r="L15" s="91"/>
      <c r="M15" s="91"/>
      <c r="N15" s="142"/>
      <c r="O15" s="108"/>
      <c r="P15" s="85"/>
      <c r="Q15" s="85"/>
      <c r="R15" s="85"/>
      <c r="S15" s="85" t="s">
        <v>23</v>
      </c>
      <c r="T15" s="85"/>
      <c r="U15" s="85"/>
      <c r="V15" s="85" t="s">
        <v>23</v>
      </c>
      <c r="W15" s="85"/>
      <c r="X15" s="85" t="s">
        <v>23</v>
      </c>
      <c r="Y15" s="86"/>
      <c r="Z15" s="86" t="s">
        <v>23</v>
      </c>
      <c r="AA15" s="86" t="s">
        <v>23</v>
      </c>
      <c r="AB15" s="85"/>
    </row>
    <row r="16" spans="1:28" ht="15.75" thickBot="1" x14ac:dyDescent="0.3">
      <c r="A16" s="127" t="s">
        <v>308</v>
      </c>
      <c r="B16" s="110" t="s">
        <v>346</v>
      </c>
      <c r="C16" s="179" t="s">
        <v>341</v>
      </c>
      <c r="D16" s="132" t="s">
        <v>154</v>
      </c>
      <c r="E16" s="116" t="s">
        <v>153</v>
      </c>
      <c r="F16" s="137"/>
      <c r="G16" s="147">
        <v>0.9</v>
      </c>
      <c r="H16" s="147">
        <v>0.1</v>
      </c>
      <c r="I16" s="151"/>
      <c r="J16" s="112"/>
      <c r="K16" s="91"/>
      <c r="L16" s="91"/>
      <c r="M16" s="91"/>
      <c r="N16" s="142"/>
      <c r="O16" s="108"/>
      <c r="P16" s="85"/>
      <c r="Q16" s="85"/>
      <c r="R16" s="85"/>
      <c r="S16" s="86" t="s">
        <v>23</v>
      </c>
      <c r="T16" s="85"/>
      <c r="U16" s="85"/>
      <c r="V16" s="85"/>
      <c r="W16" s="85"/>
      <c r="X16" s="85"/>
      <c r="Y16" s="85"/>
      <c r="Z16" s="85"/>
      <c r="AA16" s="85"/>
      <c r="AB16" s="85"/>
    </row>
    <row r="17" spans="1:28" ht="15.75" thickBot="1" x14ac:dyDescent="0.3">
      <c r="A17" s="127" t="s">
        <v>326</v>
      </c>
      <c r="B17" s="110" t="s">
        <v>347</v>
      </c>
      <c r="C17" s="179" t="s">
        <v>341</v>
      </c>
      <c r="D17" s="132" t="s">
        <v>154</v>
      </c>
      <c r="E17" s="116" t="s">
        <v>153</v>
      </c>
      <c r="F17" s="137"/>
      <c r="G17" s="147">
        <v>0.6</v>
      </c>
      <c r="H17" s="147">
        <v>0.4</v>
      </c>
      <c r="I17" s="151"/>
      <c r="J17" s="112"/>
      <c r="K17" s="91"/>
      <c r="L17" s="91"/>
      <c r="M17" s="91"/>
      <c r="N17" s="142"/>
      <c r="O17" s="108"/>
      <c r="P17" s="85"/>
      <c r="Q17" s="85"/>
      <c r="R17" s="85"/>
      <c r="S17" s="86" t="s">
        <v>23</v>
      </c>
      <c r="T17" s="85"/>
      <c r="U17" s="85"/>
      <c r="V17" s="85"/>
      <c r="W17" s="85"/>
      <c r="X17" s="85"/>
      <c r="Y17" s="85"/>
      <c r="Z17" s="85"/>
      <c r="AA17" s="85"/>
      <c r="AB17" s="85" t="s">
        <v>23</v>
      </c>
    </row>
    <row r="18" spans="1:28" ht="15.75" thickBot="1" x14ac:dyDescent="0.3">
      <c r="A18" s="127" t="s">
        <v>327</v>
      </c>
      <c r="B18" s="110" t="s">
        <v>351</v>
      </c>
      <c r="C18" s="179" t="s">
        <v>341</v>
      </c>
      <c r="D18" s="132" t="s">
        <v>154</v>
      </c>
      <c r="E18" s="116" t="s">
        <v>153</v>
      </c>
      <c r="F18" s="137"/>
      <c r="G18" s="147">
        <v>0.6</v>
      </c>
      <c r="H18" s="147">
        <v>0.4</v>
      </c>
      <c r="I18" s="151"/>
      <c r="J18" s="112"/>
      <c r="K18" s="117"/>
      <c r="L18" s="117"/>
      <c r="M18" s="117"/>
      <c r="N18" s="144"/>
      <c r="O18" s="108"/>
      <c r="P18" s="85"/>
      <c r="Q18" s="85"/>
      <c r="R18" s="85"/>
      <c r="S18" s="86"/>
      <c r="T18" s="85"/>
      <c r="U18" s="85"/>
      <c r="V18" s="85"/>
      <c r="W18" s="85"/>
      <c r="X18" s="85"/>
      <c r="Y18" s="85" t="s">
        <v>23</v>
      </c>
      <c r="Z18" s="85"/>
      <c r="AA18" s="85"/>
      <c r="AB18" s="85"/>
    </row>
    <row r="19" spans="1:28" ht="15.75" thickBot="1" x14ac:dyDescent="0.3">
      <c r="A19" s="127" t="s">
        <v>32</v>
      </c>
      <c r="B19" s="110" t="s">
        <v>66</v>
      </c>
      <c r="C19" s="179" t="s">
        <v>341</v>
      </c>
      <c r="D19" s="132" t="s">
        <v>172</v>
      </c>
      <c r="E19" s="116" t="s">
        <v>173</v>
      </c>
      <c r="F19" s="137"/>
      <c r="G19" s="147">
        <v>0.9</v>
      </c>
      <c r="H19" s="147">
        <v>0.1</v>
      </c>
      <c r="I19" s="151"/>
      <c r="J19" s="112"/>
      <c r="K19" s="91"/>
      <c r="L19" s="91"/>
      <c r="M19" s="91"/>
      <c r="N19" s="142"/>
      <c r="O19" s="108"/>
      <c r="P19" s="85"/>
      <c r="Q19" s="85"/>
      <c r="R19" s="85"/>
      <c r="S19" s="85"/>
      <c r="T19" s="85" t="s">
        <v>23</v>
      </c>
      <c r="U19" s="85"/>
      <c r="V19" s="85"/>
      <c r="W19" s="85"/>
      <c r="X19" s="85"/>
      <c r="Y19" s="85"/>
      <c r="Z19" s="85"/>
      <c r="AA19" s="85"/>
      <c r="AB19" s="85"/>
    </row>
    <row r="20" spans="1:28" ht="15.75" thickBot="1" x14ac:dyDescent="0.3">
      <c r="A20" s="127" t="s">
        <v>33</v>
      </c>
      <c r="B20" s="110" t="s">
        <v>353</v>
      </c>
      <c r="C20" s="179" t="s">
        <v>341</v>
      </c>
      <c r="D20" s="132" t="s">
        <v>172</v>
      </c>
      <c r="E20" s="116" t="s">
        <v>173</v>
      </c>
      <c r="F20" s="137"/>
      <c r="G20" s="147">
        <v>0.95</v>
      </c>
      <c r="H20" s="147">
        <v>0.05</v>
      </c>
      <c r="I20" s="151"/>
      <c r="J20" s="112"/>
      <c r="K20" s="91"/>
      <c r="L20" s="91"/>
      <c r="M20" s="91"/>
      <c r="N20" s="142"/>
      <c r="O20" s="108"/>
      <c r="P20" s="85"/>
      <c r="Q20" s="85"/>
      <c r="R20" s="85"/>
      <c r="S20" s="85"/>
      <c r="T20" s="85" t="s">
        <v>23</v>
      </c>
      <c r="U20" s="85"/>
      <c r="V20" s="85"/>
      <c r="W20" s="85"/>
      <c r="X20" s="85"/>
      <c r="Y20" s="85"/>
      <c r="Z20" s="85"/>
      <c r="AA20" s="85"/>
      <c r="AB20" s="85"/>
    </row>
    <row r="21" spans="1:28" ht="15.75" thickBot="1" x14ac:dyDescent="0.3">
      <c r="A21" s="127" t="s">
        <v>309</v>
      </c>
      <c r="B21" s="110" t="s">
        <v>91</v>
      </c>
      <c r="C21" s="179" t="s">
        <v>341</v>
      </c>
      <c r="D21" s="132" t="s">
        <v>172</v>
      </c>
      <c r="E21" s="116" t="s">
        <v>173</v>
      </c>
      <c r="F21" s="137"/>
      <c r="G21" s="147"/>
      <c r="H21" s="147"/>
      <c r="I21" s="151"/>
      <c r="J21" s="135" t="s">
        <v>350</v>
      </c>
      <c r="K21" s="91"/>
      <c r="L21" s="91"/>
      <c r="M21" s="91"/>
      <c r="N21" s="142"/>
      <c r="O21" s="108"/>
      <c r="P21" s="85"/>
      <c r="Q21" s="85"/>
      <c r="R21" s="85"/>
      <c r="S21" s="85"/>
      <c r="T21" s="85"/>
      <c r="U21" s="85" t="s">
        <v>23</v>
      </c>
      <c r="V21" s="85"/>
      <c r="W21" s="85"/>
      <c r="X21" s="85"/>
      <c r="Y21" s="85"/>
      <c r="Z21" s="85"/>
      <c r="AA21" s="85"/>
      <c r="AB21" s="85"/>
    </row>
    <row r="22" spans="1:28" ht="15.75" thickBot="1" x14ac:dyDescent="0.3">
      <c r="A22" s="127" t="s">
        <v>330</v>
      </c>
      <c r="B22" s="110" t="s">
        <v>354</v>
      </c>
      <c r="C22" s="179" t="s">
        <v>341</v>
      </c>
      <c r="D22" s="132" t="s">
        <v>172</v>
      </c>
      <c r="E22" s="116" t="s">
        <v>173</v>
      </c>
      <c r="F22" s="137"/>
      <c r="G22" s="147"/>
      <c r="H22" s="147"/>
      <c r="I22" s="151"/>
      <c r="J22" s="135" t="s">
        <v>337</v>
      </c>
      <c r="K22" s="117" t="s">
        <v>333</v>
      </c>
      <c r="L22" s="117"/>
      <c r="M22" s="117"/>
      <c r="N22" s="144"/>
      <c r="O22" s="108"/>
      <c r="P22" s="85"/>
      <c r="Q22" s="85"/>
      <c r="R22" s="85"/>
      <c r="S22" s="85"/>
      <c r="T22" s="85"/>
      <c r="U22" s="88" t="s">
        <v>23</v>
      </c>
      <c r="V22" s="85"/>
      <c r="W22" s="85"/>
      <c r="X22" s="85"/>
      <c r="Y22" s="85"/>
      <c r="Z22" s="85"/>
      <c r="AA22" s="85"/>
      <c r="AB22" s="85"/>
    </row>
    <row r="23" spans="1:28" ht="15.75" thickBot="1" x14ac:dyDescent="0.3">
      <c r="A23" s="127" t="s">
        <v>89</v>
      </c>
      <c r="B23" s="110" t="s">
        <v>355</v>
      </c>
      <c r="C23" s="179" t="s">
        <v>342</v>
      </c>
      <c r="D23" s="132" t="s">
        <v>343</v>
      </c>
      <c r="E23" s="116" t="s">
        <v>344</v>
      </c>
      <c r="F23" s="137" t="s">
        <v>345</v>
      </c>
      <c r="G23" s="147">
        <v>0.5</v>
      </c>
      <c r="H23" s="147">
        <v>0.3</v>
      </c>
      <c r="I23" s="151">
        <f>IF(ISBLANK(Tabelle5[[#This Row],[Zustand_3]]),0,1-Tabelle5[[#This Row],[Prob_default]]-Tabelle5[[#This Row],[Prob_2]])</f>
        <v>0.2</v>
      </c>
      <c r="J23" s="112"/>
      <c r="K23" s="91"/>
      <c r="L23" s="91"/>
      <c r="M23" s="91"/>
      <c r="N23" s="142"/>
      <c r="O23" s="108"/>
      <c r="P23" s="85"/>
      <c r="Q23" s="85"/>
      <c r="R23" s="85"/>
      <c r="S23" s="85"/>
      <c r="T23" s="85"/>
      <c r="U23" s="85" t="s">
        <v>23</v>
      </c>
      <c r="V23" s="85"/>
      <c r="W23" s="85"/>
      <c r="X23" s="85"/>
      <c r="Y23" s="85" t="s">
        <v>23</v>
      </c>
      <c r="Z23" s="85"/>
      <c r="AA23" s="85"/>
      <c r="AB23" s="85"/>
    </row>
    <row r="24" spans="1:28" ht="15.75" thickBot="1" x14ac:dyDescent="0.3">
      <c r="A24" s="127" t="s">
        <v>36</v>
      </c>
      <c r="B24" s="110" t="s">
        <v>36</v>
      </c>
      <c r="C24" s="179" t="s">
        <v>341</v>
      </c>
      <c r="D24" s="132" t="s">
        <v>172</v>
      </c>
      <c r="E24" s="116" t="s">
        <v>168</v>
      </c>
      <c r="F24" s="137" t="s">
        <v>169</v>
      </c>
      <c r="G24" s="147">
        <v>0.3</v>
      </c>
      <c r="H24" s="147">
        <v>0.5</v>
      </c>
      <c r="I24" s="151">
        <f>IF(ISBLANK(Tabelle5[[#This Row],[Zustand_3]]),0,1-Tabelle5[[#This Row],[Prob_default]]-Tabelle5[[#This Row],[Prob_2]])</f>
        <v>0.19999999999999996</v>
      </c>
      <c r="J24" s="112"/>
      <c r="K24" s="91"/>
      <c r="L24" s="91"/>
      <c r="M24" s="91"/>
      <c r="N24" s="142"/>
      <c r="O24" s="108"/>
      <c r="P24" s="85"/>
      <c r="Q24" s="85"/>
      <c r="R24" s="85"/>
      <c r="S24" s="85"/>
      <c r="T24" s="85"/>
      <c r="U24" s="85" t="s">
        <v>23</v>
      </c>
      <c r="V24" s="85" t="s">
        <v>23</v>
      </c>
      <c r="W24" s="85" t="s">
        <v>23</v>
      </c>
      <c r="X24" s="85"/>
      <c r="Y24" s="86" t="s">
        <v>23</v>
      </c>
      <c r="Z24" s="85"/>
      <c r="AA24" s="85"/>
      <c r="AB24" s="85"/>
    </row>
    <row r="25" spans="1:28" ht="15.75" thickBot="1" x14ac:dyDescent="0.3">
      <c r="A25" s="127" t="s">
        <v>39</v>
      </c>
      <c r="B25" s="110" t="s">
        <v>39</v>
      </c>
      <c r="C25" s="179" t="s">
        <v>342</v>
      </c>
      <c r="D25" s="132" t="s">
        <v>343</v>
      </c>
      <c r="E25" s="116" t="s">
        <v>344</v>
      </c>
      <c r="F25" s="137" t="s">
        <v>345</v>
      </c>
      <c r="G25" s="147">
        <v>0.7</v>
      </c>
      <c r="H25" s="147">
        <v>0.2</v>
      </c>
      <c r="I25" s="151">
        <f>IF(ISBLANK(Tabelle5[[#This Row],[Zustand_3]]),0,1-Tabelle5[[#This Row],[Prob_default]]-Tabelle5[[#This Row],[Prob_2]])</f>
        <v>0.10000000000000003</v>
      </c>
      <c r="J25" s="112"/>
      <c r="K25" s="91"/>
      <c r="L25" s="91"/>
      <c r="M25" s="91"/>
      <c r="N25" s="142"/>
      <c r="O25" s="108"/>
      <c r="P25" s="85"/>
      <c r="Q25" s="85"/>
      <c r="R25" s="85"/>
      <c r="S25" s="85"/>
      <c r="T25" s="85"/>
      <c r="U25" s="85"/>
      <c r="V25" s="85" t="s">
        <v>23</v>
      </c>
      <c r="W25" s="85"/>
      <c r="X25" s="85"/>
      <c r="Y25" s="85"/>
      <c r="Z25" s="85"/>
      <c r="AA25" s="85"/>
      <c r="AB25" s="85"/>
    </row>
    <row r="26" spans="1:28" ht="15.75" thickBot="1" x14ac:dyDescent="0.3">
      <c r="A26" s="127" t="s">
        <v>41</v>
      </c>
      <c r="B26" s="110" t="s">
        <v>356</v>
      </c>
      <c r="C26" s="179" t="s">
        <v>342</v>
      </c>
      <c r="D26" s="132" t="s">
        <v>343</v>
      </c>
      <c r="E26" s="116" t="s">
        <v>344</v>
      </c>
      <c r="F26" s="137" t="s">
        <v>345</v>
      </c>
      <c r="G26" s="147">
        <v>0.85</v>
      </c>
      <c r="H26" s="147">
        <v>0.1</v>
      </c>
      <c r="I26" s="151">
        <f>IF(ISBLANK(Tabelle5[[#This Row],[Zustand_3]]),0,1-Tabelle5[[#This Row],[Prob_default]]-Tabelle5[[#This Row],[Prob_2]])</f>
        <v>5.0000000000000017E-2</v>
      </c>
      <c r="J26" s="112"/>
      <c r="K26" s="91"/>
      <c r="L26" s="91"/>
      <c r="M26" s="91"/>
      <c r="N26" s="142"/>
      <c r="O26" s="108"/>
      <c r="P26" s="85"/>
      <c r="Q26" s="85"/>
      <c r="R26" s="85"/>
      <c r="S26" s="85"/>
      <c r="T26" s="85"/>
      <c r="U26" s="85"/>
      <c r="V26" s="85"/>
      <c r="W26" s="85" t="s">
        <v>23</v>
      </c>
      <c r="X26" s="85"/>
      <c r="Y26" s="85"/>
      <c r="Z26" s="85"/>
      <c r="AA26" s="85"/>
      <c r="AB26" s="85"/>
    </row>
    <row r="27" spans="1:28" ht="15.75" thickBot="1" x14ac:dyDescent="0.3">
      <c r="A27" s="127" t="s">
        <v>42</v>
      </c>
      <c r="B27" s="110" t="s">
        <v>352</v>
      </c>
      <c r="C27" s="179" t="s">
        <v>341</v>
      </c>
      <c r="D27" s="132" t="s">
        <v>172</v>
      </c>
      <c r="E27" s="116" t="s">
        <v>173</v>
      </c>
      <c r="F27" s="137"/>
      <c r="G27" s="147">
        <v>0.7</v>
      </c>
      <c r="H27" s="147">
        <v>0.3</v>
      </c>
      <c r="I27" s="151"/>
      <c r="J27" s="112"/>
      <c r="K27" s="91"/>
      <c r="L27" s="91"/>
      <c r="M27" s="91"/>
      <c r="N27" s="142"/>
      <c r="O27" s="108"/>
      <c r="P27" s="85"/>
      <c r="Q27" s="85"/>
      <c r="R27" s="85"/>
      <c r="S27" s="85"/>
      <c r="T27" s="85"/>
      <c r="U27" s="85"/>
      <c r="V27" s="85"/>
      <c r="W27" s="85" t="s">
        <v>23</v>
      </c>
      <c r="X27" s="85"/>
      <c r="Y27" s="85"/>
      <c r="Z27" s="85"/>
      <c r="AA27" s="85"/>
      <c r="AB27" s="85"/>
    </row>
    <row r="28" spans="1:28" ht="15.75" thickBot="1" x14ac:dyDescent="0.3">
      <c r="A28" s="127" t="s">
        <v>44</v>
      </c>
      <c r="B28" s="110" t="s">
        <v>85</v>
      </c>
      <c r="C28" s="179" t="s">
        <v>341</v>
      </c>
      <c r="D28" s="132" t="s">
        <v>154</v>
      </c>
      <c r="E28" s="116" t="s">
        <v>153</v>
      </c>
      <c r="F28" s="137"/>
      <c r="G28" s="147"/>
      <c r="H28" s="147"/>
      <c r="I28" s="151"/>
      <c r="J28" s="135" t="s">
        <v>332</v>
      </c>
      <c r="K28" s="91"/>
      <c r="L28" s="91"/>
      <c r="M28" s="91"/>
      <c r="N28" s="142"/>
      <c r="O28" s="108"/>
      <c r="P28" s="85"/>
      <c r="Q28" s="85"/>
      <c r="R28" s="85"/>
      <c r="S28" s="85"/>
      <c r="T28" s="85"/>
      <c r="U28" s="85"/>
      <c r="V28" s="85"/>
      <c r="W28" s="85"/>
      <c r="X28" s="85" t="s">
        <v>23</v>
      </c>
      <c r="Y28" s="85"/>
      <c r="Z28" s="85"/>
      <c r="AA28" s="85"/>
      <c r="AB28" s="85" t="s">
        <v>23</v>
      </c>
    </row>
    <row r="29" spans="1:28" ht="15.75" thickBot="1" x14ac:dyDescent="0.3">
      <c r="A29" s="127" t="s">
        <v>277</v>
      </c>
      <c r="B29" s="110" t="s">
        <v>72</v>
      </c>
      <c r="C29" s="179" t="s">
        <v>341</v>
      </c>
      <c r="D29" s="132" t="s">
        <v>172</v>
      </c>
      <c r="E29" s="116" t="s">
        <v>173</v>
      </c>
      <c r="F29" s="137"/>
      <c r="G29" s="147">
        <v>0.4</v>
      </c>
      <c r="H29" s="147">
        <v>0.6</v>
      </c>
      <c r="I29" s="151"/>
      <c r="J29" s="112"/>
      <c r="K29" s="91"/>
      <c r="L29" s="91"/>
      <c r="M29" s="91"/>
      <c r="N29" s="142"/>
      <c r="O29" s="108"/>
      <c r="P29" s="85"/>
      <c r="Q29" s="85"/>
      <c r="R29" s="85"/>
      <c r="S29" s="85"/>
      <c r="T29" s="85"/>
      <c r="U29" s="85"/>
      <c r="V29" s="85"/>
      <c r="W29" s="85"/>
      <c r="X29" s="85" t="s">
        <v>23</v>
      </c>
      <c r="Y29" s="85" t="s">
        <v>23</v>
      </c>
      <c r="Z29" s="85"/>
      <c r="AA29" s="85"/>
      <c r="AB29" s="85"/>
    </row>
    <row r="30" spans="1:28" ht="15.75" thickBot="1" x14ac:dyDescent="0.3">
      <c r="A30" s="127" t="s">
        <v>304</v>
      </c>
      <c r="B30" s="110" t="s">
        <v>88</v>
      </c>
      <c r="C30" s="179" t="s">
        <v>341</v>
      </c>
      <c r="D30" s="132" t="s">
        <v>154</v>
      </c>
      <c r="E30" s="116" t="s">
        <v>153</v>
      </c>
      <c r="F30" s="137"/>
      <c r="G30" s="147"/>
      <c r="H30" s="147"/>
      <c r="I30" s="151"/>
      <c r="J30" s="135" t="s">
        <v>332</v>
      </c>
      <c r="K30" s="91"/>
      <c r="L30" s="91"/>
      <c r="M30" s="91"/>
      <c r="N30" s="142"/>
      <c r="O30" s="108"/>
      <c r="P30" s="85"/>
      <c r="Q30" s="85"/>
      <c r="R30" s="85"/>
      <c r="S30" s="85"/>
      <c r="T30" s="85"/>
      <c r="U30" s="85"/>
      <c r="V30" s="85"/>
      <c r="W30" s="85"/>
      <c r="X30" s="85"/>
      <c r="Y30" s="85" t="s">
        <v>23</v>
      </c>
      <c r="Z30" s="85"/>
      <c r="AA30" s="85"/>
      <c r="AB30" s="85" t="s">
        <v>23</v>
      </c>
    </row>
    <row r="31" spans="1:28" ht="15.75" thickBot="1" x14ac:dyDescent="0.3">
      <c r="A31" s="127" t="s">
        <v>305</v>
      </c>
      <c r="B31" s="110" t="s">
        <v>77</v>
      </c>
      <c r="C31" s="179" t="s">
        <v>341</v>
      </c>
      <c r="D31" s="132" t="s">
        <v>154</v>
      </c>
      <c r="E31" s="116" t="s">
        <v>153</v>
      </c>
      <c r="F31" s="137"/>
      <c r="G31" s="147">
        <v>0.95</v>
      </c>
      <c r="H31" s="147">
        <v>0.05</v>
      </c>
      <c r="I31" s="151"/>
      <c r="J31" s="112"/>
      <c r="K31" s="91"/>
      <c r="L31" s="91"/>
      <c r="M31" s="91"/>
      <c r="N31" s="142"/>
      <c r="O31" s="108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 t="s">
        <v>23</v>
      </c>
      <c r="AA31" s="85"/>
      <c r="AB31" s="85"/>
    </row>
    <row r="32" spans="1:28" ht="15.75" thickBot="1" x14ac:dyDescent="0.3">
      <c r="A32" s="127" t="s">
        <v>52</v>
      </c>
      <c r="B32" s="110" t="s">
        <v>357</v>
      </c>
      <c r="C32" s="179" t="s">
        <v>341</v>
      </c>
      <c r="D32" s="132" t="s">
        <v>172</v>
      </c>
      <c r="E32" s="116" t="s">
        <v>173</v>
      </c>
      <c r="F32" s="137"/>
      <c r="G32" s="147"/>
      <c r="H32" s="147"/>
      <c r="I32" s="151"/>
      <c r="J32" s="113" t="s">
        <v>314</v>
      </c>
      <c r="K32" s="119" t="s">
        <v>315</v>
      </c>
      <c r="L32" s="117"/>
      <c r="M32" s="91"/>
      <c r="N32" s="142"/>
      <c r="O32" s="108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 t="s">
        <v>23</v>
      </c>
      <c r="AA32" s="85"/>
      <c r="AB32" s="85"/>
    </row>
    <row r="33" spans="1:28" ht="15.75" thickBot="1" x14ac:dyDescent="0.3">
      <c r="A33" s="127" t="s">
        <v>53</v>
      </c>
      <c r="B33" s="110" t="s">
        <v>358</v>
      </c>
      <c r="C33" s="179" t="s">
        <v>341</v>
      </c>
      <c r="D33" s="132" t="s">
        <v>172</v>
      </c>
      <c r="E33" s="116" t="s">
        <v>173</v>
      </c>
      <c r="F33" s="137"/>
      <c r="G33" s="147">
        <v>0.96</v>
      </c>
      <c r="H33" s="147">
        <v>0.04</v>
      </c>
      <c r="I33" s="151"/>
      <c r="J33" s="112"/>
      <c r="K33" s="91"/>
      <c r="L33" s="91"/>
      <c r="M33" s="91"/>
      <c r="N33" s="142"/>
      <c r="O33" s="108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 t="s">
        <v>23</v>
      </c>
      <c r="AB33" s="85"/>
    </row>
    <row r="34" spans="1:28" ht="15.75" thickBot="1" x14ac:dyDescent="0.3">
      <c r="A34" s="127" t="s">
        <v>76</v>
      </c>
      <c r="B34" s="110" t="s">
        <v>76</v>
      </c>
      <c r="C34" s="179" t="s">
        <v>341</v>
      </c>
      <c r="D34" s="132" t="s">
        <v>172</v>
      </c>
      <c r="E34" s="116" t="s">
        <v>173</v>
      </c>
      <c r="F34" s="137"/>
      <c r="G34" s="147">
        <v>0.8</v>
      </c>
      <c r="H34" s="147">
        <v>0.2</v>
      </c>
      <c r="I34" s="151"/>
      <c r="J34" s="112"/>
      <c r="K34" s="91"/>
      <c r="L34" s="91"/>
      <c r="M34" s="91"/>
      <c r="N34" s="142"/>
      <c r="O34" s="108"/>
      <c r="P34" s="85" t="s">
        <v>259</v>
      </c>
      <c r="Q34" s="85" t="s">
        <v>259</v>
      </c>
      <c r="R34" s="85" t="s">
        <v>259</v>
      </c>
      <c r="S34" s="85"/>
      <c r="T34" s="85"/>
      <c r="U34" s="85"/>
      <c r="V34" s="85" t="s">
        <v>259</v>
      </c>
      <c r="W34" s="85"/>
      <c r="X34" s="85"/>
      <c r="Y34" s="85"/>
      <c r="Z34" s="85" t="s">
        <v>259</v>
      </c>
      <c r="AA34" s="85"/>
      <c r="AB34" s="85"/>
    </row>
    <row r="35" spans="1:28" ht="15.75" thickBot="1" x14ac:dyDescent="0.3">
      <c r="A35" s="127" t="s">
        <v>306</v>
      </c>
      <c r="B35" s="110" t="s">
        <v>359</v>
      </c>
      <c r="C35" s="179" t="s">
        <v>341</v>
      </c>
      <c r="D35" s="132" t="s">
        <v>172</v>
      </c>
      <c r="E35" s="116" t="s">
        <v>173</v>
      </c>
      <c r="F35" s="137"/>
      <c r="G35" s="147">
        <v>0.96</v>
      </c>
      <c r="H35" s="147">
        <v>0.04</v>
      </c>
      <c r="I35" s="151"/>
      <c r="J35" s="112"/>
      <c r="K35" s="91"/>
      <c r="L35" s="91"/>
      <c r="M35" s="91"/>
      <c r="N35" s="142"/>
      <c r="O35" s="108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 t="s">
        <v>23</v>
      </c>
      <c r="AB35" s="85"/>
    </row>
    <row r="36" spans="1:28" ht="15.75" thickBot="1" x14ac:dyDescent="0.3">
      <c r="A36" s="127" t="s">
        <v>81</v>
      </c>
      <c r="B36" s="110" t="s">
        <v>360</v>
      </c>
      <c r="C36" s="179" t="s">
        <v>341</v>
      </c>
      <c r="D36" s="132" t="s">
        <v>172</v>
      </c>
      <c r="E36" s="116" t="s">
        <v>173</v>
      </c>
      <c r="F36" s="137"/>
      <c r="G36" s="147">
        <v>0.6</v>
      </c>
      <c r="H36" s="147">
        <v>0.4</v>
      </c>
      <c r="I36" s="151"/>
      <c r="J36" s="112"/>
      <c r="K36" s="91"/>
      <c r="L36" s="91"/>
      <c r="M36" s="91"/>
      <c r="N36" s="142"/>
      <c r="O36" s="108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6" t="s">
        <v>23</v>
      </c>
      <c r="AB36" s="85"/>
    </row>
    <row r="37" spans="1:28" ht="15.75" thickBot="1" x14ac:dyDescent="0.3">
      <c r="A37" s="127" t="s">
        <v>83</v>
      </c>
      <c r="B37" s="110" t="s">
        <v>86</v>
      </c>
      <c r="C37" s="179" t="s">
        <v>341</v>
      </c>
      <c r="D37" s="132" t="s">
        <v>154</v>
      </c>
      <c r="E37" s="116" t="s">
        <v>153</v>
      </c>
      <c r="F37" s="137"/>
      <c r="G37" s="147"/>
      <c r="H37" s="147"/>
      <c r="I37" s="151"/>
      <c r="J37" s="135" t="s">
        <v>332</v>
      </c>
      <c r="K37" s="91"/>
      <c r="L37" s="91"/>
      <c r="M37" s="91"/>
      <c r="N37" s="142"/>
      <c r="O37" s="108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 t="s">
        <v>23</v>
      </c>
    </row>
    <row r="38" spans="1:28" ht="15.75" thickBot="1" x14ac:dyDescent="0.3">
      <c r="A38" s="127" t="s">
        <v>84</v>
      </c>
      <c r="B38" s="110" t="s">
        <v>361</v>
      </c>
      <c r="C38" s="179" t="s">
        <v>341</v>
      </c>
      <c r="D38" s="132" t="s">
        <v>172</v>
      </c>
      <c r="E38" s="116" t="s">
        <v>173</v>
      </c>
      <c r="F38" s="137"/>
      <c r="G38" s="147"/>
      <c r="H38" s="147"/>
      <c r="I38" s="151"/>
      <c r="J38" s="113" t="s">
        <v>314</v>
      </c>
      <c r="K38" s="119" t="s">
        <v>315</v>
      </c>
      <c r="L38" s="119" t="s">
        <v>316</v>
      </c>
      <c r="M38" s="119" t="s">
        <v>317</v>
      </c>
      <c r="N38" s="144"/>
      <c r="O38" s="108"/>
      <c r="P38" s="85" t="s">
        <v>23</v>
      </c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 t="s">
        <v>23</v>
      </c>
    </row>
    <row r="39" spans="1:28" ht="15.75" thickBot="1" x14ac:dyDescent="0.3">
      <c r="A39" s="129" t="s">
        <v>314</v>
      </c>
      <c r="B39" s="125" t="s">
        <v>314</v>
      </c>
      <c r="C39" s="181" t="s">
        <v>342</v>
      </c>
      <c r="D39" s="133" t="s">
        <v>343</v>
      </c>
      <c r="E39" s="120" t="s">
        <v>344</v>
      </c>
      <c r="F39" s="139" t="s">
        <v>345</v>
      </c>
      <c r="G39" s="149">
        <v>0.5</v>
      </c>
      <c r="H39" s="149">
        <v>0.31</v>
      </c>
      <c r="I39" s="152">
        <f>IF(ISBLANK(Tabelle5[[#This Row],[Zustand_3]]),0,1-Tabelle5[[#This Row],[Prob_default]]-Tabelle5[[#This Row],[Prob_2]])</f>
        <v>0.19</v>
      </c>
      <c r="J39" s="113"/>
      <c r="K39" s="119"/>
      <c r="L39" s="119"/>
      <c r="M39" s="119"/>
      <c r="N39" s="145"/>
      <c r="O39" s="140"/>
      <c r="P39" s="88" t="s">
        <v>259</v>
      </c>
      <c r="Q39" s="88"/>
      <c r="R39" s="88"/>
      <c r="S39" s="88" t="s">
        <v>259</v>
      </c>
      <c r="T39" s="88"/>
      <c r="U39" s="88"/>
      <c r="V39" s="88"/>
      <c r="W39" s="88"/>
      <c r="X39" s="88"/>
      <c r="Y39" s="88"/>
      <c r="Z39" s="88" t="s">
        <v>259</v>
      </c>
      <c r="AA39" s="88"/>
      <c r="AB39" s="88" t="s">
        <v>259</v>
      </c>
    </row>
    <row r="40" spans="1:28" ht="15.75" thickBot="1" x14ac:dyDescent="0.3">
      <c r="A40" s="129" t="s">
        <v>315</v>
      </c>
      <c r="B40" s="125" t="s">
        <v>315</v>
      </c>
      <c r="C40" s="181" t="s">
        <v>342</v>
      </c>
      <c r="D40" s="133" t="s">
        <v>343</v>
      </c>
      <c r="E40" s="120" t="s">
        <v>344</v>
      </c>
      <c r="F40" s="139" t="s">
        <v>345</v>
      </c>
      <c r="G40" s="149">
        <v>0.6</v>
      </c>
      <c r="H40" s="149">
        <v>0.21</v>
      </c>
      <c r="I40" s="152">
        <f>IF(ISBLANK(Tabelle5[[#This Row],[Zustand_3]]),0,1-Tabelle5[[#This Row],[Prob_default]]-Tabelle5[[#This Row],[Prob_2]])</f>
        <v>0.19000000000000003</v>
      </c>
      <c r="J40" s="113"/>
      <c r="K40" s="119"/>
      <c r="L40" s="119"/>
      <c r="M40" s="119"/>
      <c r="N40" s="145"/>
      <c r="O40" s="140"/>
      <c r="P40" s="88" t="s">
        <v>259</v>
      </c>
      <c r="Q40" s="88"/>
      <c r="R40" s="88"/>
      <c r="S40" s="88"/>
      <c r="T40" s="88"/>
      <c r="U40" s="88"/>
      <c r="V40" s="88"/>
      <c r="W40" s="88"/>
      <c r="X40" s="88"/>
      <c r="Y40" s="88"/>
      <c r="Z40" s="88" t="s">
        <v>259</v>
      </c>
      <c r="AA40" s="88"/>
      <c r="AB40" s="88" t="s">
        <v>259</v>
      </c>
    </row>
    <row r="41" spans="1:28" ht="15.75" thickBot="1" x14ac:dyDescent="0.3">
      <c r="A41" s="130" t="s">
        <v>316</v>
      </c>
      <c r="B41" s="125" t="s">
        <v>316</v>
      </c>
      <c r="C41" s="181" t="s">
        <v>342</v>
      </c>
      <c r="D41" s="133" t="s">
        <v>343</v>
      </c>
      <c r="E41" s="120" t="s">
        <v>344</v>
      </c>
      <c r="F41" s="139" t="s">
        <v>345</v>
      </c>
      <c r="G41" s="149">
        <v>0.45</v>
      </c>
      <c r="H41" s="149">
        <v>0.3</v>
      </c>
      <c r="I41" s="152">
        <f>IF(ISBLANK(Tabelle5[[#This Row],[Zustand_3]]),0,1-Tabelle5[[#This Row],[Prob_default]]-Tabelle5[[#This Row],[Prob_2]])</f>
        <v>0.25000000000000006</v>
      </c>
      <c r="J41" s="113"/>
      <c r="K41" s="119"/>
      <c r="L41" s="119"/>
      <c r="M41" s="119"/>
      <c r="N41" s="145"/>
      <c r="O41" s="140"/>
      <c r="P41" s="88" t="s">
        <v>259</v>
      </c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 t="s">
        <v>259</v>
      </c>
    </row>
    <row r="42" spans="1:28" ht="15.75" thickBot="1" x14ac:dyDescent="0.3">
      <c r="A42" s="129" t="s">
        <v>317</v>
      </c>
      <c r="B42" s="125" t="s">
        <v>317</v>
      </c>
      <c r="C42" s="181" t="s">
        <v>342</v>
      </c>
      <c r="D42" s="133" t="s">
        <v>343</v>
      </c>
      <c r="E42" s="120" t="s">
        <v>344</v>
      </c>
      <c r="F42" s="139" t="s">
        <v>345</v>
      </c>
      <c r="G42" s="149">
        <v>0.5</v>
      </c>
      <c r="H42" s="149">
        <v>0.19</v>
      </c>
      <c r="I42" s="152">
        <f>IF(ISBLANK(Tabelle5[[#This Row],[Zustand_3]]),0,1-Tabelle5[[#This Row],[Prob_default]]-Tabelle5[[#This Row],[Prob_2]])</f>
        <v>0.31</v>
      </c>
      <c r="J42" s="113"/>
      <c r="K42" s="119"/>
      <c r="L42" s="119"/>
      <c r="M42" s="119"/>
      <c r="N42" s="145"/>
      <c r="O42" s="140"/>
      <c r="P42" s="88" t="s">
        <v>259</v>
      </c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 t="s">
        <v>259</v>
      </c>
    </row>
    <row r="43" spans="1:28" ht="15.75" thickBot="1" x14ac:dyDescent="0.3">
      <c r="A43" s="129" t="s">
        <v>318</v>
      </c>
      <c r="B43" s="125" t="s">
        <v>318</v>
      </c>
      <c r="C43" s="181" t="s">
        <v>342</v>
      </c>
      <c r="D43" s="133" t="s">
        <v>343</v>
      </c>
      <c r="E43" s="120" t="s">
        <v>344</v>
      </c>
      <c r="F43" s="139" t="s">
        <v>345</v>
      </c>
      <c r="G43" s="149">
        <v>0.6</v>
      </c>
      <c r="H43" s="149">
        <v>0.2</v>
      </c>
      <c r="I43" s="152">
        <f>IF(ISBLANK(Tabelle5[[#This Row],[Zustand_3]]),0,1-Tabelle5[[#This Row],[Prob_default]]-Tabelle5[[#This Row],[Prob_2]])</f>
        <v>0.2</v>
      </c>
      <c r="J43" s="113"/>
      <c r="K43" s="119"/>
      <c r="L43" s="119"/>
      <c r="M43" s="119"/>
      <c r="N43" s="145"/>
      <c r="O43" s="140"/>
      <c r="P43" s="88"/>
      <c r="Q43" s="88" t="s">
        <v>259</v>
      </c>
      <c r="R43" s="88" t="s">
        <v>259</v>
      </c>
      <c r="S43" s="88" t="s">
        <v>259</v>
      </c>
      <c r="T43" s="88" t="s">
        <v>259</v>
      </c>
      <c r="U43" s="88" t="s">
        <v>259</v>
      </c>
      <c r="V43" s="88" t="s">
        <v>259</v>
      </c>
      <c r="W43" s="88" t="s">
        <v>259</v>
      </c>
      <c r="X43" s="88" t="s">
        <v>259</v>
      </c>
      <c r="Y43" s="88" t="s">
        <v>259</v>
      </c>
      <c r="Z43" s="88" t="s">
        <v>259</v>
      </c>
      <c r="AA43" s="88" t="s">
        <v>259</v>
      </c>
      <c r="AB43" s="88" t="s">
        <v>259</v>
      </c>
    </row>
    <row r="44" spans="1:28" ht="15.75" thickBot="1" x14ac:dyDescent="0.3">
      <c r="A44" s="129" t="s">
        <v>319</v>
      </c>
      <c r="B44" s="125" t="s">
        <v>319</v>
      </c>
      <c r="C44" s="181" t="s">
        <v>342</v>
      </c>
      <c r="D44" s="133" t="s">
        <v>343</v>
      </c>
      <c r="E44" s="120" t="s">
        <v>344</v>
      </c>
      <c r="F44" s="139" t="s">
        <v>345</v>
      </c>
      <c r="G44" s="149">
        <v>0.57999999999999996</v>
      </c>
      <c r="H44" s="149">
        <v>0.31</v>
      </c>
      <c r="I44" s="152">
        <f>IF(ISBLANK(Tabelle5[[#This Row],[Zustand_3]]),0,1-Tabelle5[[#This Row],[Prob_default]]-Tabelle5[[#This Row],[Prob_2]])</f>
        <v>0.11000000000000004</v>
      </c>
      <c r="J44" s="113"/>
      <c r="K44" s="119"/>
      <c r="L44" s="119"/>
      <c r="M44" s="119"/>
      <c r="N44" s="145"/>
      <c r="O44" s="140"/>
      <c r="P44" s="88"/>
      <c r="Q44" s="88" t="s">
        <v>259</v>
      </c>
      <c r="R44" s="88" t="s">
        <v>259</v>
      </c>
      <c r="S44" s="88" t="s">
        <v>259</v>
      </c>
      <c r="T44" s="88" t="s">
        <v>259</v>
      </c>
      <c r="U44" s="88" t="s">
        <v>259</v>
      </c>
      <c r="V44" s="88" t="s">
        <v>259</v>
      </c>
      <c r="W44" s="88" t="s">
        <v>259</v>
      </c>
      <c r="X44" s="88" t="s">
        <v>259</v>
      </c>
      <c r="Y44" s="88" t="s">
        <v>259</v>
      </c>
      <c r="Z44" s="88" t="s">
        <v>259</v>
      </c>
      <c r="AA44" s="88" t="s">
        <v>259</v>
      </c>
      <c r="AB44" s="88" t="s">
        <v>259</v>
      </c>
    </row>
    <row r="45" spans="1:28" ht="15.75" thickBot="1" x14ac:dyDescent="0.3">
      <c r="A45" s="129" t="s">
        <v>320</v>
      </c>
      <c r="B45" s="125" t="s">
        <v>320</v>
      </c>
      <c r="C45" s="181" t="s">
        <v>342</v>
      </c>
      <c r="D45" s="133" t="s">
        <v>343</v>
      </c>
      <c r="E45" s="120" t="s">
        <v>344</v>
      </c>
      <c r="F45" s="139" t="s">
        <v>345</v>
      </c>
      <c r="G45" s="149">
        <v>0.46</v>
      </c>
      <c r="H45" s="149">
        <v>0.26</v>
      </c>
      <c r="I45" s="152">
        <f>IF(ISBLANK(Tabelle5[[#This Row],[Zustand_3]]),0,1-Tabelle5[[#This Row],[Prob_default]]-Tabelle5[[#This Row],[Prob_2]])</f>
        <v>0.28000000000000003</v>
      </c>
      <c r="J45" s="113"/>
      <c r="K45" s="119"/>
      <c r="L45" s="119"/>
      <c r="M45" s="119"/>
      <c r="N45" s="145"/>
      <c r="O45" s="140"/>
      <c r="P45" s="88" t="s">
        <v>259</v>
      </c>
      <c r="Q45" s="88" t="s">
        <v>259</v>
      </c>
      <c r="R45" s="88" t="s">
        <v>259</v>
      </c>
      <c r="S45" s="88" t="s">
        <v>259</v>
      </c>
      <c r="T45" s="88" t="s">
        <v>259</v>
      </c>
      <c r="U45" s="88" t="s">
        <v>259</v>
      </c>
      <c r="V45" s="88" t="s">
        <v>259</v>
      </c>
      <c r="W45" s="88" t="s">
        <v>259</v>
      </c>
      <c r="X45" s="88" t="s">
        <v>259</v>
      </c>
      <c r="Y45" s="88" t="s">
        <v>259</v>
      </c>
      <c r="Z45" s="88" t="s">
        <v>259</v>
      </c>
      <c r="AA45" s="88" t="s">
        <v>259</v>
      </c>
      <c r="AB45" s="88" t="s">
        <v>259</v>
      </c>
    </row>
    <row r="46" spans="1:28" ht="15.75" thickBot="1" x14ac:dyDescent="0.3">
      <c r="A46" s="129" t="s">
        <v>321</v>
      </c>
      <c r="B46" s="125" t="s">
        <v>321</v>
      </c>
      <c r="C46" s="181" t="s">
        <v>342</v>
      </c>
      <c r="D46" s="133" t="s">
        <v>343</v>
      </c>
      <c r="E46" s="120" t="s">
        <v>344</v>
      </c>
      <c r="F46" s="139" t="s">
        <v>345</v>
      </c>
      <c r="G46" s="149">
        <v>0.43</v>
      </c>
      <c r="H46" s="149">
        <v>0.3</v>
      </c>
      <c r="I46" s="152">
        <f>IF(ISBLANK(Tabelle5[[#This Row],[Zustand_3]]),0,1-Tabelle5[[#This Row],[Prob_default]]-Tabelle5[[#This Row],[Prob_2]])</f>
        <v>0.27000000000000007</v>
      </c>
      <c r="J46" s="113"/>
      <c r="K46" s="119"/>
      <c r="L46" s="119"/>
      <c r="M46" s="119"/>
      <c r="N46" s="145"/>
      <c r="O46" s="140"/>
      <c r="P46" s="88" t="s">
        <v>259</v>
      </c>
      <c r="Q46" s="88" t="s">
        <v>259</v>
      </c>
      <c r="R46" s="88" t="s">
        <v>259</v>
      </c>
      <c r="S46" s="88" t="s">
        <v>259</v>
      </c>
      <c r="T46" s="88" t="s">
        <v>259</v>
      </c>
      <c r="U46" s="88" t="s">
        <v>259</v>
      </c>
      <c r="V46" s="88" t="s">
        <v>259</v>
      </c>
      <c r="W46" s="88" t="s">
        <v>259</v>
      </c>
      <c r="X46" s="88" t="s">
        <v>259</v>
      </c>
      <c r="Y46" s="88" t="s">
        <v>259</v>
      </c>
      <c r="Z46" s="88" t="s">
        <v>259</v>
      </c>
      <c r="AA46" s="88" t="s">
        <v>259</v>
      </c>
      <c r="AB46" s="88" t="s">
        <v>259</v>
      </c>
    </row>
    <row r="47" spans="1:28" ht="15.75" thickBot="1" x14ac:dyDescent="0.3">
      <c r="A47" s="129" t="s">
        <v>322</v>
      </c>
      <c r="B47" s="125" t="s">
        <v>322</v>
      </c>
      <c r="C47" s="181" t="s">
        <v>342</v>
      </c>
      <c r="D47" s="133" t="s">
        <v>343</v>
      </c>
      <c r="E47" s="120" t="s">
        <v>344</v>
      </c>
      <c r="F47" s="139" t="s">
        <v>345</v>
      </c>
      <c r="G47" s="149">
        <v>0.32</v>
      </c>
      <c r="H47" s="149">
        <v>0.5</v>
      </c>
      <c r="I47" s="152">
        <f>IF(ISBLANK(Tabelle5[[#This Row],[Zustand_3]]),0,1-Tabelle5[[#This Row],[Prob_default]]-Tabelle5[[#This Row],[Prob_2]])</f>
        <v>0.17999999999999994</v>
      </c>
      <c r="J47" s="113"/>
      <c r="K47" s="119"/>
      <c r="L47" s="119"/>
      <c r="M47" s="119"/>
      <c r="N47" s="145"/>
      <c r="O47" s="140" t="s">
        <v>259</v>
      </c>
      <c r="P47" s="88" t="s">
        <v>259</v>
      </c>
      <c r="Q47" s="88" t="s">
        <v>259</v>
      </c>
      <c r="R47" s="88"/>
      <c r="S47" s="88"/>
      <c r="T47" s="88"/>
      <c r="U47" s="88" t="s">
        <v>259</v>
      </c>
      <c r="V47" s="88"/>
      <c r="W47" s="88"/>
      <c r="X47" s="88"/>
      <c r="Y47" s="88"/>
      <c r="Z47" s="88"/>
      <c r="AA47" s="88"/>
      <c r="AB47" s="88"/>
    </row>
    <row r="48" spans="1:28" x14ac:dyDescent="0.25">
      <c r="A48" s="32"/>
      <c r="B48" s="32"/>
      <c r="C48" s="32"/>
      <c r="J48" s="101"/>
      <c r="K48" s="101"/>
      <c r="L48" s="101"/>
      <c r="M48" s="5"/>
      <c r="N48" s="5"/>
    </row>
  </sheetData>
  <phoneticPr fontId="8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01A78-7082-49C8-AD3F-BB989CF18254}">
  <dimension ref="A1:AC74"/>
  <sheetViews>
    <sheetView tabSelected="1" topLeftCell="A49" workbookViewId="0">
      <pane xSplit="1" topLeftCell="B1" activePane="topRight" state="frozen"/>
      <selection pane="topRight" activeCell="E75" sqref="E75"/>
    </sheetView>
  </sheetViews>
  <sheetFormatPr baseColWidth="10" defaultRowHeight="15" x14ac:dyDescent="0.25"/>
  <cols>
    <col min="1" max="1" width="44.140625" style="37" bestFit="1" customWidth="1"/>
    <col min="2" max="2" width="22.28515625" style="100" customWidth="1"/>
    <col min="3" max="3" width="11.85546875" style="100" customWidth="1"/>
    <col min="4" max="4" width="17.7109375" style="100" customWidth="1"/>
    <col min="5" max="6" width="12.28515625" style="100" customWidth="1"/>
    <col min="7" max="7" width="25.42578125" style="37" customWidth="1"/>
    <col min="8" max="8" width="20.85546875" style="37" customWidth="1"/>
    <col min="9" max="11" width="15.85546875" customWidth="1"/>
    <col min="12" max="12" width="20.7109375" customWidth="1"/>
    <col min="13" max="14" width="20.140625" customWidth="1"/>
    <col min="15" max="15" width="35.28515625" customWidth="1"/>
    <col min="16" max="16" width="30.28515625" customWidth="1"/>
    <col min="17" max="17" width="26.42578125" customWidth="1"/>
    <col min="18" max="18" width="14.85546875" customWidth="1"/>
    <col min="19" max="19" width="13.7109375" customWidth="1"/>
    <col min="20" max="20" width="34.85546875" customWidth="1"/>
    <col min="21" max="21" width="21" customWidth="1"/>
    <col min="22" max="22" width="19.140625" customWidth="1"/>
    <col min="23" max="23" width="37.85546875" customWidth="1"/>
    <col min="24" max="24" width="31.42578125" customWidth="1"/>
    <col min="25" max="25" width="9.140625" style="185" bestFit="1" customWidth="1"/>
    <col min="26" max="26" width="18" bestFit="1" customWidth="1"/>
    <col min="27" max="27" width="24" bestFit="1" customWidth="1"/>
    <col min="28" max="28" width="15.5703125" bestFit="1" customWidth="1"/>
    <col min="29" max="29" width="33.5703125" bestFit="1" customWidth="1"/>
  </cols>
  <sheetData>
    <row r="1" spans="1:29" s="83" customFormat="1" ht="15.75" thickBot="1" x14ac:dyDescent="0.3">
      <c r="A1" s="164" t="s">
        <v>249</v>
      </c>
      <c r="B1" s="165" t="s">
        <v>311</v>
      </c>
      <c r="C1" s="160" t="s">
        <v>340</v>
      </c>
      <c r="D1" s="160" t="s">
        <v>151</v>
      </c>
      <c r="E1" s="160" t="s">
        <v>152</v>
      </c>
      <c r="F1" s="162" t="s">
        <v>156</v>
      </c>
      <c r="G1" s="161" t="s">
        <v>274</v>
      </c>
      <c r="H1" s="114" t="s">
        <v>275</v>
      </c>
      <c r="I1" s="114" t="s">
        <v>323</v>
      </c>
      <c r="J1" s="114" t="s">
        <v>324</v>
      </c>
      <c r="K1" s="114" t="s">
        <v>325</v>
      </c>
      <c r="L1" s="114" t="s">
        <v>428</v>
      </c>
      <c r="M1" s="114" t="s">
        <v>427</v>
      </c>
      <c r="N1" s="114" t="s">
        <v>417</v>
      </c>
      <c r="O1" s="114" t="s">
        <v>418</v>
      </c>
      <c r="P1" s="114" t="s">
        <v>419</v>
      </c>
      <c r="Q1" s="114" t="s">
        <v>420</v>
      </c>
      <c r="R1" s="114" t="s">
        <v>264</v>
      </c>
      <c r="S1" s="114" t="s">
        <v>298</v>
      </c>
      <c r="T1" s="114" t="s">
        <v>429</v>
      </c>
      <c r="U1" s="114" t="s">
        <v>421</v>
      </c>
      <c r="V1" s="114" t="s">
        <v>270</v>
      </c>
      <c r="W1" s="114" t="s">
        <v>422</v>
      </c>
      <c r="X1" s="114" t="s">
        <v>423</v>
      </c>
      <c r="Y1" s="182" t="s">
        <v>271</v>
      </c>
      <c r="Z1" s="114" t="s">
        <v>424</v>
      </c>
      <c r="AA1" s="114" t="s">
        <v>425</v>
      </c>
      <c r="AB1" s="114" t="s">
        <v>272</v>
      </c>
      <c r="AC1" s="166" t="s">
        <v>426</v>
      </c>
    </row>
    <row r="2" spans="1:29" s="46" customFormat="1" ht="15.75" thickBot="1" x14ac:dyDescent="0.3">
      <c r="A2" s="96" t="s">
        <v>36</v>
      </c>
      <c r="B2" s="97" t="s">
        <v>36</v>
      </c>
      <c r="C2" s="177" t="s">
        <v>341</v>
      </c>
      <c r="D2" s="158" t="s">
        <v>172</v>
      </c>
      <c r="E2" s="157" t="s">
        <v>168</v>
      </c>
      <c r="F2" s="98" t="s">
        <v>169</v>
      </c>
      <c r="G2" s="90"/>
      <c r="H2" s="84"/>
      <c r="I2" s="84"/>
      <c r="J2" s="84"/>
      <c r="K2" s="173"/>
      <c r="L2" s="108"/>
      <c r="M2" s="85"/>
      <c r="N2" s="85"/>
      <c r="O2" s="85"/>
      <c r="P2" s="85"/>
      <c r="Q2" s="85" t="s">
        <v>23</v>
      </c>
      <c r="R2" s="85"/>
      <c r="S2" s="85"/>
      <c r="T2" s="85"/>
      <c r="U2" s="85"/>
      <c r="V2" s="85"/>
      <c r="W2" s="85"/>
      <c r="X2" s="85"/>
      <c r="Y2" s="86"/>
      <c r="Z2" s="85"/>
      <c r="AA2" s="85"/>
      <c r="AB2" s="85"/>
      <c r="AC2" s="85" t="s">
        <v>23</v>
      </c>
    </row>
    <row r="3" spans="1:29" s="46" customFormat="1" ht="15.75" thickBot="1" x14ac:dyDescent="0.3">
      <c r="A3" s="153" t="s">
        <v>257</v>
      </c>
      <c r="B3" s="97" t="s">
        <v>257</v>
      </c>
      <c r="C3" s="177" t="s">
        <v>342</v>
      </c>
      <c r="D3" s="158" t="s">
        <v>343</v>
      </c>
      <c r="E3" s="157" t="s">
        <v>344</v>
      </c>
      <c r="F3" s="98" t="s">
        <v>345</v>
      </c>
      <c r="G3" s="154"/>
      <c r="H3" s="155"/>
      <c r="I3" s="155"/>
      <c r="J3" s="155"/>
      <c r="K3" s="174"/>
      <c r="L3" s="171"/>
      <c r="M3" s="86" t="s">
        <v>23</v>
      </c>
      <c r="N3" s="156"/>
      <c r="O3" s="86"/>
      <c r="P3" s="86"/>
      <c r="Q3" s="86"/>
      <c r="R3" s="86" t="s">
        <v>23</v>
      </c>
      <c r="S3" s="86"/>
      <c r="T3" s="86" t="s">
        <v>23</v>
      </c>
      <c r="U3" s="86" t="s">
        <v>23</v>
      </c>
      <c r="V3" s="86"/>
      <c r="W3" s="86"/>
      <c r="X3" s="86"/>
      <c r="Y3" s="86"/>
      <c r="Z3" s="86"/>
      <c r="AA3" s="86"/>
      <c r="AB3" s="86"/>
      <c r="AC3" s="86"/>
    </row>
    <row r="4" spans="1:29" s="46" customFormat="1" ht="15.75" thickBot="1" x14ac:dyDescent="0.3">
      <c r="A4" s="94" t="s">
        <v>256</v>
      </c>
      <c r="B4" s="97" t="s">
        <v>379</v>
      </c>
      <c r="C4" s="177" t="s">
        <v>341</v>
      </c>
      <c r="D4" s="158" t="s">
        <v>172</v>
      </c>
      <c r="E4" s="157" t="s">
        <v>173</v>
      </c>
      <c r="F4" s="98"/>
      <c r="G4" s="90" t="s">
        <v>257</v>
      </c>
      <c r="H4" s="84"/>
      <c r="I4" s="84"/>
      <c r="J4" s="84"/>
      <c r="K4" s="173"/>
      <c r="L4" s="108"/>
      <c r="M4" s="85" t="s">
        <v>23</v>
      </c>
      <c r="N4" s="88"/>
      <c r="O4" s="85"/>
      <c r="P4" s="85"/>
      <c r="Q4" s="85"/>
      <c r="R4" s="85"/>
      <c r="S4" s="85"/>
      <c r="T4" s="85"/>
      <c r="U4" s="85"/>
      <c r="V4" s="85"/>
      <c r="W4" s="85"/>
      <c r="X4" s="85"/>
      <c r="Y4" s="86"/>
      <c r="Z4" s="85"/>
      <c r="AA4" s="85"/>
      <c r="AB4" s="85"/>
      <c r="AC4" s="85"/>
    </row>
    <row r="5" spans="1:29" s="46" customFormat="1" ht="15.75" thickBot="1" x14ac:dyDescent="0.3">
      <c r="A5" s="94" t="s">
        <v>265</v>
      </c>
      <c r="B5" s="97" t="s">
        <v>380</v>
      </c>
      <c r="C5" s="177" t="s">
        <v>342</v>
      </c>
      <c r="D5" s="158" t="s">
        <v>343</v>
      </c>
      <c r="E5" s="157" t="s">
        <v>344</v>
      </c>
      <c r="F5" s="98" t="s">
        <v>345</v>
      </c>
      <c r="G5" s="90"/>
      <c r="H5" s="84"/>
      <c r="I5" s="84"/>
      <c r="J5" s="84"/>
      <c r="K5" s="173"/>
      <c r="L5" s="108"/>
      <c r="M5" s="85"/>
      <c r="N5" s="85" t="s">
        <v>23</v>
      </c>
      <c r="O5" s="85"/>
      <c r="P5" s="85"/>
      <c r="Q5" s="85"/>
      <c r="R5" s="85"/>
      <c r="S5" s="85" t="s">
        <v>23</v>
      </c>
      <c r="T5" s="85"/>
      <c r="U5" s="85"/>
      <c r="V5" s="85"/>
      <c r="W5" s="85"/>
      <c r="X5" s="85"/>
      <c r="Y5" s="86"/>
      <c r="Z5" s="85"/>
      <c r="AA5" s="85"/>
      <c r="AB5" s="85"/>
      <c r="AC5" s="85"/>
    </row>
    <row r="6" spans="1:29" s="46" customFormat="1" ht="15.75" thickBot="1" x14ac:dyDescent="0.3">
      <c r="A6" s="94" t="s">
        <v>371</v>
      </c>
      <c r="B6" s="97" t="s">
        <v>386</v>
      </c>
      <c r="C6" s="177" t="s">
        <v>341</v>
      </c>
      <c r="D6" s="158" t="s">
        <v>154</v>
      </c>
      <c r="E6" s="157" t="s">
        <v>153</v>
      </c>
      <c r="F6" s="98"/>
      <c r="G6" s="90"/>
      <c r="H6" s="84"/>
      <c r="I6" s="84"/>
      <c r="J6" s="84"/>
      <c r="K6" s="173"/>
      <c r="L6" s="108"/>
      <c r="M6" s="85"/>
      <c r="N6" s="85"/>
      <c r="O6" s="85"/>
      <c r="P6" s="85"/>
      <c r="Q6" s="85" t="s">
        <v>23</v>
      </c>
      <c r="R6" s="85"/>
      <c r="S6" s="85"/>
      <c r="T6" s="85"/>
      <c r="U6" s="85"/>
      <c r="V6" s="85"/>
      <c r="W6" s="85"/>
      <c r="X6" s="85"/>
      <c r="Y6" s="86"/>
      <c r="Z6" s="85"/>
      <c r="AA6" s="85"/>
      <c r="AB6" s="85"/>
      <c r="AC6" s="85"/>
    </row>
    <row r="7" spans="1:29" s="46" customFormat="1" ht="15.75" thickBot="1" x14ac:dyDescent="0.3">
      <c r="A7" s="96" t="s">
        <v>295</v>
      </c>
      <c r="B7" s="97" t="s">
        <v>55</v>
      </c>
      <c r="C7" s="177" t="s">
        <v>341</v>
      </c>
      <c r="D7" s="158" t="s">
        <v>154</v>
      </c>
      <c r="E7" s="157" t="s">
        <v>153</v>
      </c>
      <c r="F7" s="98"/>
      <c r="G7" s="90"/>
      <c r="H7" s="84"/>
      <c r="I7" s="84"/>
      <c r="J7" s="84"/>
      <c r="K7" s="173"/>
      <c r="L7" s="108"/>
      <c r="M7" s="85"/>
      <c r="N7" s="85"/>
      <c r="O7" s="85"/>
      <c r="P7" s="85"/>
      <c r="Q7" s="85"/>
      <c r="R7" s="85"/>
      <c r="S7" s="85"/>
      <c r="T7" s="85"/>
      <c r="U7" s="85"/>
      <c r="V7" s="85"/>
      <c r="W7" s="85" t="s">
        <v>23</v>
      </c>
      <c r="X7" s="85"/>
      <c r="Y7" s="86"/>
      <c r="Z7" s="85"/>
      <c r="AA7" s="85"/>
      <c r="AB7" s="85"/>
      <c r="AC7" s="85"/>
    </row>
    <row r="8" spans="1:29" s="46" customFormat="1" ht="15.75" thickBot="1" x14ac:dyDescent="0.3">
      <c r="A8" s="95" t="s">
        <v>290</v>
      </c>
      <c r="B8" s="97" t="s">
        <v>381</v>
      </c>
      <c r="C8" s="177" t="s">
        <v>341</v>
      </c>
      <c r="D8" s="158" t="s">
        <v>154</v>
      </c>
      <c r="E8" s="157" t="s">
        <v>153</v>
      </c>
      <c r="F8" s="98"/>
      <c r="G8" s="90"/>
      <c r="H8" s="84"/>
      <c r="I8" s="84"/>
      <c r="J8" s="84"/>
      <c r="K8" s="173"/>
      <c r="L8" s="108"/>
      <c r="M8" s="85"/>
      <c r="N8" s="85" t="s">
        <v>23</v>
      </c>
      <c r="O8" s="85"/>
      <c r="P8" s="85"/>
      <c r="Q8" s="85"/>
      <c r="R8" s="85"/>
      <c r="S8" s="85"/>
      <c r="T8" s="85"/>
      <c r="U8" s="85"/>
      <c r="V8" s="85" t="s">
        <v>23</v>
      </c>
      <c r="W8" s="85"/>
      <c r="X8" s="85"/>
      <c r="Y8" s="86"/>
      <c r="Z8" s="85"/>
      <c r="AA8" s="85"/>
      <c r="AB8" s="85"/>
      <c r="AC8" s="85"/>
    </row>
    <row r="9" spans="1:29" s="46" customFormat="1" ht="15.75" thickBot="1" x14ac:dyDescent="0.3">
      <c r="A9" s="153" t="s">
        <v>374</v>
      </c>
      <c r="B9" s="97" t="s">
        <v>387</v>
      </c>
      <c r="C9" s="177" t="s">
        <v>341</v>
      </c>
      <c r="D9" s="158" t="s">
        <v>154</v>
      </c>
      <c r="E9" s="157" t="s">
        <v>153</v>
      </c>
      <c r="F9" s="98"/>
      <c r="G9" s="90"/>
      <c r="H9" s="84"/>
      <c r="I9" s="84"/>
      <c r="J9" s="84"/>
      <c r="K9" s="173"/>
      <c r="L9" s="108"/>
      <c r="M9" s="85"/>
      <c r="N9" s="85"/>
      <c r="O9" s="85"/>
      <c r="P9" s="85"/>
      <c r="Q9" s="85"/>
      <c r="R9" s="85"/>
      <c r="S9" s="85"/>
      <c r="T9" s="85"/>
      <c r="U9" s="85"/>
      <c r="V9" s="85" t="s">
        <v>23</v>
      </c>
      <c r="W9" s="85"/>
      <c r="X9" s="85"/>
      <c r="Y9" s="86"/>
      <c r="Z9" s="85"/>
      <c r="AA9" s="85"/>
      <c r="AB9" s="85"/>
      <c r="AC9" s="85"/>
    </row>
    <row r="10" spans="1:29" s="46" customFormat="1" ht="15.75" thickBot="1" x14ac:dyDescent="0.3">
      <c r="A10" s="95" t="s">
        <v>291</v>
      </c>
      <c r="B10" s="97" t="s">
        <v>383</v>
      </c>
      <c r="C10" s="177" t="s">
        <v>341</v>
      </c>
      <c r="D10" s="158" t="s">
        <v>154</v>
      </c>
      <c r="E10" s="157" t="s">
        <v>153</v>
      </c>
      <c r="F10" s="98"/>
      <c r="G10" s="90"/>
      <c r="H10" s="84"/>
      <c r="I10" s="84"/>
      <c r="J10" s="84"/>
      <c r="K10" s="173"/>
      <c r="L10" s="108"/>
      <c r="M10" s="85"/>
      <c r="N10" s="85"/>
      <c r="O10" s="85" t="s">
        <v>23</v>
      </c>
      <c r="P10" s="85" t="s">
        <v>23</v>
      </c>
      <c r="Q10" s="85" t="s">
        <v>23</v>
      </c>
      <c r="R10" s="85"/>
      <c r="S10" s="85"/>
      <c r="T10" s="85"/>
      <c r="U10" s="85"/>
      <c r="V10" s="85"/>
      <c r="W10" s="85"/>
      <c r="X10" s="85" t="s">
        <v>23</v>
      </c>
      <c r="Y10" s="86"/>
      <c r="Z10" s="85"/>
      <c r="AA10" s="85"/>
      <c r="AB10" s="85"/>
      <c r="AC10" s="85" t="s">
        <v>23</v>
      </c>
    </row>
    <row r="11" spans="1:29" s="46" customFormat="1" ht="15.75" thickBot="1" x14ac:dyDescent="0.3">
      <c r="A11" s="94" t="s">
        <v>382</v>
      </c>
      <c r="B11" s="97" t="s">
        <v>384</v>
      </c>
      <c r="C11" s="177" t="s">
        <v>341</v>
      </c>
      <c r="D11" s="158" t="s">
        <v>154</v>
      </c>
      <c r="E11" s="157" t="s">
        <v>153</v>
      </c>
      <c r="F11" s="98"/>
      <c r="G11" s="90"/>
      <c r="H11" s="84"/>
      <c r="I11" s="84"/>
      <c r="J11" s="84"/>
      <c r="K11" s="173"/>
      <c r="L11" s="108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6"/>
      <c r="Z11" s="85"/>
      <c r="AA11" s="85"/>
      <c r="AB11" s="85"/>
      <c r="AC11" s="85" t="s">
        <v>23</v>
      </c>
    </row>
    <row r="12" spans="1:29" s="46" customFormat="1" ht="15.75" thickBot="1" x14ac:dyDescent="0.3">
      <c r="A12" s="95" t="s">
        <v>436</v>
      </c>
      <c r="B12" s="97" t="s">
        <v>385</v>
      </c>
      <c r="C12" s="177" t="s">
        <v>341</v>
      </c>
      <c r="D12" s="158" t="s">
        <v>154</v>
      </c>
      <c r="E12" s="157" t="s">
        <v>153</v>
      </c>
      <c r="F12" s="98"/>
      <c r="G12" s="90"/>
      <c r="H12" s="84"/>
      <c r="I12" s="84"/>
      <c r="J12" s="84"/>
      <c r="K12" s="173"/>
      <c r="L12" s="108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6"/>
      <c r="Z12" s="85"/>
      <c r="AA12" s="85"/>
      <c r="AB12" s="85" t="s">
        <v>23</v>
      </c>
      <c r="AC12" s="85"/>
    </row>
    <row r="13" spans="1:29" s="46" customFormat="1" ht="15.75" thickBot="1" x14ac:dyDescent="0.3">
      <c r="A13" s="94" t="s">
        <v>372</v>
      </c>
      <c r="B13" s="97" t="s">
        <v>388</v>
      </c>
      <c r="C13" s="177" t="s">
        <v>341</v>
      </c>
      <c r="D13" s="158" t="s">
        <v>154</v>
      </c>
      <c r="E13" s="157" t="s">
        <v>153</v>
      </c>
      <c r="F13" s="98"/>
      <c r="G13" s="90"/>
      <c r="H13" s="84"/>
      <c r="I13" s="84"/>
      <c r="J13" s="84"/>
      <c r="K13" s="173"/>
      <c r="L13" s="108"/>
      <c r="M13" s="85"/>
      <c r="N13" s="85"/>
      <c r="O13" s="85"/>
      <c r="P13" s="85"/>
      <c r="Q13" s="85"/>
      <c r="R13" s="85" t="s">
        <v>23</v>
      </c>
      <c r="S13" s="85"/>
      <c r="T13" s="85"/>
      <c r="U13" s="85"/>
      <c r="V13" s="85"/>
      <c r="W13" s="85"/>
      <c r="X13" s="85"/>
      <c r="Y13" s="86"/>
      <c r="Z13" s="85"/>
      <c r="AA13" s="85"/>
      <c r="AB13" s="85"/>
      <c r="AC13" s="85"/>
    </row>
    <row r="14" spans="1:29" s="46" customFormat="1" ht="15.75" thickBot="1" x14ac:dyDescent="0.3">
      <c r="A14" s="94" t="s">
        <v>260</v>
      </c>
      <c r="B14" s="97" t="s">
        <v>260</v>
      </c>
      <c r="C14" s="177" t="s">
        <v>342</v>
      </c>
      <c r="D14" s="158" t="s">
        <v>343</v>
      </c>
      <c r="E14" s="157" t="s">
        <v>344</v>
      </c>
      <c r="F14" s="98" t="s">
        <v>345</v>
      </c>
      <c r="G14" s="90"/>
      <c r="H14" s="84"/>
      <c r="I14" s="84"/>
      <c r="J14" s="84"/>
      <c r="K14" s="173"/>
      <c r="L14" s="108"/>
      <c r="M14" s="85"/>
      <c r="N14" s="85" t="s">
        <v>23</v>
      </c>
      <c r="O14" s="85"/>
      <c r="P14" s="85"/>
      <c r="Q14" s="85"/>
      <c r="R14" s="85" t="s">
        <v>23</v>
      </c>
      <c r="S14" s="85"/>
      <c r="T14" s="85"/>
      <c r="U14" s="85" t="s">
        <v>23</v>
      </c>
      <c r="V14" s="85"/>
      <c r="W14" s="85"/>
      <c r="X14" s="85"/>
      <c r="Y14" s="86"/>
      <c r="Z14" s="85"/>
      <c r="AA14" s="85"/>
      <c r="AB14" s="85"/>
      <c r="AC14" s="85"/>
    </row>
    <row r="15" spans="1:29" s="46" customFormat="1" ht="15.75" thickBot="1" x14ac:dyDescent="0.3">
      <c r="A15" s="94" t="s">
        <v>286</v>
      </c>
      <c r="B15" s="97" t="s">
        <v>407</v>
      </c>
      <c r="C15" s="177" t="s">
        <v>341</v>
      </c>
      <c r="D15" s="158" t="s">
        <v>172</v>
      </c>
      <c r="E15" s="157" t="s">
        <v>173</v>
      </c>
      <c r="F15" s="98"/>
      <c r="G15" s="90"/>
      <c r="H15" s="84"/>
      <c r="I15" s="84"/>
      <c r="J15" s="84"/>
      <c r="K15" s="173"/>
      <c r="L15" s="108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 t="s">
        <v>23</v>
      </c>
      <c r="Y15" s="86"/>
      <c r="Z15" s="85"/>
      <c r="AA15" s="85"/>
      <c r="AB15" s="85"/>
      <c r="AC15" s="85"/>
    </row>
    <row r="16" spans="1:29" s="46" customFormat="1" ht="15.75" thickBot="1" x14ac:dyDescent="0.3">
      <c r="A16" s="94" t="s">
        <v>250</v>
      </c>
      <c r="B16" s="97" t="s">
        <v>389</v>
      </c>
      <c r="C16" s="177" t="s">
        <v>341</v>
      </c>
      <c r="D16" s="158" t="s">
        <v>172</v>
      </c>
      <c r="E16" s="157" t="s">
        <v>173</v>
      </c>
      <c r="F16" s="98"/>
      <c r="G16" s="90"/>
      <c r="H16" s="84"/>
      <c r="I16" s="84"/>
      <c r="J16" s="84"/>
      <c r="K16" s="173"/>
      <c r="L16" s="108" t="s">
        <v>23</v>
      </c>
      <c r="M16" s="85"/>
      <c r="N16" s="85"/>
      <c r="O16" s="85" t="s">
        <v>23</v>
      </c>
      <c r="P16" s="85"/>
      <c r="Q16" s="85" t="s">
        <v>23</v>
      </c>
      <c r="R16" s="85"/>
      <c r="S16" s="85"/>
      <c r="T16" s="85"/>
      <c r="U16" s="85"/>
      <c r="V16" s="85"/>
      <c r="W16" s="85"/>
      <c r="X16" s="85"/>
      <c r="Y16" s="86"/>
      <c r="Z16" s="85"/>
      <c r="AA16" s="85"/>
      <c r="AB16" s="85"/>
      <c r="AC16" s="85"/>
    </row>
    <row r="17" spans="1:29" s="46" customFormat="1" ht="15.75" thickBot="1" x14ac:dyDescent="0.3">
      <c r="A17" s="94" t="s">
        <v>288</v>
      </c>
      <c r="B17" s="97" t="s">
        <v>402</v>
      </c>
      <c r="C17" s="177" t="s">
        <v>341</v>
      </c>
      <c r="D17" s="158" t="s">
        <v>172</v>
      </c>
      <c r="E17" s="157" t="s">
        <v>173</v>
      </c>
      <c r="F17" s="98"/>
      <c r="G17" s="90"/>
      <c r="H17" s="84"/>
      <c r="I17" s="84"/>
      <c r="J17" s="84"/>
      <c r="K17" s="173"/>
      <c r="L17" s="108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6"/>
      <c r="Z17" s="85" t="s">
        <v>23</v>
      </c>
      <c r="AA17" s="85"/>
      <c r="AB17" s="85"/>
      <c r="AC17" s="85"/>
    </row>
    <row r="18" spans="1:29" s="46" customFormat="1" ht="15.75" thickBot="1" x14ac:dyDescent="0.3">
      <c r="A18" s="94" t="s">
        <v>299</v>
      </c>
      <c r="B18" s="97" t="s">
        <v>390</v>
      </c>
      <c r="C18" s="177" t="s">
        <v>341</v>
      </c>
      <c r="D18" s="158" t="s">
        <v>172</v>
      </c>
      <c r="E18" s="157" t="s">
        <v>173</v>
      </c>
      <c r="F18" s="98"/>
      <c r="G18" s="90"/>
      <c r="H18" s="84"/>
      <c r="I18" s="84"/>
      <c r="J18" s="84"/>
      <c r="K18" s="173"/>
      <c r="L18" s="108" t="s">
        <v>23</v>
      </c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6"/>
      <c r="Z18" s="85"/>
      <c r="AA18" s="85"/>
      <c r="AB18" s="85"/>
      <c r="AC18" s="85"/>
    </row>
    <row r="19" spans="1:29" s="46" customFormat="1" ht="15.75" thickBot="1" x14ac:dyDescent="0.3">
      <c r="A19" s="94" t="s">
        <v>268</v>
      </c>
      <c r="B19" s="97" t="s">
        <v>391</v>
      </c>
      <c r="C19" s="177" t="s">
        <v>341</v>
      </c>
      <c r="D19" s="158" t="s">
        <v>172</v>
      </c>
      <c r="E19" s="157" t="s">
        <v>173</v>
      </c>
      <c r="F19" s="98"/>
      <c r="G19" s="90"/>
      <c r="H19" s="84"/>
      <c r="I19" s="84"/>
      <c r="J19" s="84"/>
      <c r="K19" s="173"/>
      <c r="L19" s="108"/>
      <c r="M19" s="85"/>
      <c r="N19" s="85"/>
      <c r="O19" s="85"/>
      <c r="P19" s="85"/>
      <c r="Q19" s="85"/>
      <c r="R19" s="85"/>
      <c r="S19" s="85"/>
      <c r="T19" s="85" t="s">
        <v>23</v>
      </c>
      <c r="U19" s="85" t="s">
        <v>23</v>
      </c>
      <c r="V19" s="85"/>
      <c r="W19" s="85"/>
      <c r="X19" s="85" t="s">
        <v>23</v>
      </c>
      <c r="Y19" s="86"/>
      <c r="Z19" s="85"/>
      <c r="AA19" s="85"/>
      <c r="AB19" s="85"/>
      <c r="AC19" s="85"/>
    </row>
    <row r="20" spans="1:29" s="46" customFormat="1" ht="15.75" thickBot="1" x14ac:dyDescent="0.3">
      <c r="A20" s="94" t="s">
        <v>282</v>
      </c>
      <c r="B20" s="97" t="s">
        <v>408</v>
      </c>
      <c r="C20" s="177" t="s">
        <v>341</v>
      </c>
      <c r="D20" s="158" t="s">
        <v>172</v>
      </c>
      <c r="E20" s="157" t="s">
        <v>173</v>
      </c>
      <c r="F20" s="98"/>
      <c r="G20" s="90"/>
      <c r="H20" s="84"/>
      <c r="I20" s="84"/>
      <c r="J20" s="84"/>
      <c r="K20" s="173"/>
      <c r="L20" s="108"/>
      <c r="M20" s="85"/>
      <c r="N20" s="85"/>
      <c r="O20" s="85"/>
      <c r="P20" s="85"/>
      <c r="Q20" s="85"/>
      <c r="R20" s="85"/>
      <c r="S20" s="85" t="s">
        <v>23</v>
      </c>
      <c r="T20" s="85"/>
      <c r="U20" s="85"/>
      <c r="V20" s="85"/>
      <c r="W20" s="85"/>
      <c r="X20" s="85"/>
      <c r="Y20" s="86"/>
      <c r="Z20" s="85"/>
      <c r="AA20" s="85"/>
      <c r="AB20" s="85"/>
      <c r="AC20" s="85"/>
    </row>
    <row r="21" spans="1:29" s="46" customFormat="1" ht="15.75" thickBot="1" x14ac:dyDescent="0.3">
      <c r="A21" s="94" t="s">
        <v>289</v>
      </c>
      <c r="B21" s="97" t="s">
        <v>394</v>
      </c>
      <c r="C21" s="177" t="s">
        <v>341</v>
      </c>
      <c r="D21" s="158" t="s">
        <v>172</v>
      </c>
      <c r="E21" s="157" t="s">
        <v>173</v>
      </c>
      <c r="F21" s="98"/>
      <c r="G21" s="90"/>
      <c r="H21" s="84"/>
      <c r="I21" s="84"/>
      <c r="J21" s="84"/>
      <c r="K21" s="173"/>
      <c r="L21" s="108"/>
      <c r="M21" s="85"/>
      <c r="N21" s="85" t="s">
        <v>23</v>
      </c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6"/>
      <c r="Z21" s="85"/>
      <c r="AA21" s="85"/>
      <c r="AB21" s="85"/>
      <c r="AC21" s="85"/>
    </row>
    <row r="22" spans="1:29" s="46" customFormat="1" ht="15.75" thickBot="1" x14ac:dyDescent="0.3">
      <c r="A22" s="94" t="s">
        <v>284</v>
      </c>
      <c r="B22" s="97" t="s">
        <v>404</v>
      </c>
      <c r="C22" s="177" t="s">
        <v>341</v>
      </c>
      <c r="D22" s="158" t="s">
        <v>172</v>
      </c>
      <c r="E22" s="157" t="s">
        <v>173</v>
      </c>
      <c r="F22" s="98"/>
      <c r="G22" s="90"/>
      <c r="H22" s="84"/>
      <c r="I22" s="84"/>
      <c r="J22" s="84"/>
      <c r="K22" s="173"/>
      <c r="L22" s="108"/>
      <c r="M22" s="85"/>
      <c r="N22" s="85"/>
      <c r="O22" s="85"/>
      <c r="P22" s="85"/>
      <c r="Q22" s="85"/>
      <c r="R22" s="85"/>
      <c r="S22" s="85"/>
      <c r="T22" s="85" t="s">
        <v>23</v>
      </c>
      <c r="U22" s="85"/>
      <c r="V22" s="85"/>
      <c r="W22" s="85"/>
      <c r="X22" s="85"/>
      <c r="Y22" s="86"/>
      <c r="Z22" s="85"/>
      <c r="AA22" s="85"/>
      <c r="AB22" s="85"/>
      <c r="AC22" s="85"/>
    </row>
    <row r="23" spans="1:29" s="46" customFormat="1" ht="15.75" thickBot="1" x14ac:dyDescent="0.3">
      <c r="A23" s="94" t="s">
        <v>280</v>
      </c>
      <c r="B23" s="97" t="s">
        <v>280</v>
      </c>
      <c r="C23" s="177" t="s">
        <v>342</v>
      </c>
      <c r="D23" s="158" t="s">
        <v>343</v>
      </c>
      <c r="E23" s="157" t="s">
        <v>344</v>
      </c>
      <c r="F23" s="98" t="s">
        <v>345</v>
      </c>
      <c r="G23" s="90"/>
      <c r="H23" s="84"/>
      <c r="I23" s="84"/>
      <c r="J23" s="84"/>
      <c r="K23" s="173"/>
      <c r="L23" s="108"/>
      <c r="M23" s="85"/>
      <c r="N23" s="85" t="s">
        <v>23</v>
      </c>
      <c r="O23" s="85"/>
      <c r="P23" s="88"/>
      <c r="Q23" s="85"/>
      <c r="R23" s="85"/>
      <c r="S23" s="85"/>
      <c r="T23" s="85"/>
      <c r="U23" s="85"/>
      <c r="V23" s="85"/>
      <c r="W23" s="85"/>
      <c r="X23" s="85" t="s">
        <v>23</v>
      </c>
      <c r="Y23" s="86"/>
      <c r="Z23" s="85"/>
      <c r="AA23" s="85"/>
      <c r="AB23" s="85"/>
      <c r="AC23" s="85"/>
    </row>
    <row r="24" spans="1:29" s="46" customFormat="1" ht="15.75" thickBot="1" x14ac:dyDescent="0.3">
      <c r="A24" s="96" t="s">
        <v>22</v>
      </c>
      <c r="B24" s="97" t="s">
        <v>338</v>
      </c>
      <c r="C24" s="177" t="s">
        <v>342</v>
      </c>
      <c r="D24" s="158" t="s">
        <v>343</v>
      </c>
      <c r="E24" s="157" t="s">
        <v>344</v>
      </c>
      <c r="F24" s="98" t="s">
        <v>345</v>
      </c>
      <c r="G24" s="90"/>
      <c r="H24" s="84"/>
      <c r="I24" s="84"/>
      <c r="J24" s="84"/>
      <c r="K24" s="173"/>
      <c r="L24" s="108" t="s">
        <v>23</v>
      </c>
      <c r="M24" s="85"/>
      <c r="N24" s="85"/>
      <c r="O24" s="85"/>
      <c r="P24" s="85" t="s">
        <v>23</v>
      </c>
      <c r="Q24" s="85" t="s">
        <v>23</v>
      </c>
      <c r="R24" s="85"/>
      <c r="S24" s="85"/>
      <c r="T24" s="85"/>
      <c r="U24" s="85"/>
      <c r="V24" s="85"/>
      <c r="W24" s="85"/>
      <c r="X24" s="85"/>
      <c r="Y24" s="86"/>
      <c r="Z24" s="85" t="s">
        <v>23</v>
      </c>
      <c r="AA24" s="85" t="s">
        <v>23</v>
      </c>
      <c r="AB24" s="85"/>
      <c r="AC24" s="85"/>
    </row>
    <row r="25" spans="1:29" s="46" customFormat="1" ht="15.75" thickBot="1" x14ac:dyDescent="0.3">
      <c r="A25" s="96" t="s">
        <v>251</v>
      </c>
      <c r="B25" s="97" t="s">
        <v>251</v>
      </c>
      <c r="C25" s="177" t="s">
        <v>342</v>
      </c>
      <c r="D25" s="158" t="s">
        <v>343</v>
      </c>
      <c r="E25" s="157" t="s">
        <v>344</v>
      </c>
      <c r="F25" s="98" t="s">
        <v>345</v>
      </c>
      <c r="G25" s="90" t="s">
        <v>338</v>
      </c>
      <c r="H25" s="84"/>
      <c r="I25" s="84"/>
      <c r="J25" s="84"/>
      <c r="K25" s="173"/>
      <c r="L25" s="108" t="s">
        <v>23</v>
      </c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6"/>
      <c r="Z25" s="85"/>
      <c r="AA25" s="85"/>
      <c r="AB25" s="85"/>
      <c r="AC25" s="85"/>
    </row>
    <row r="26" spans="1:29" s="46" customFormat="1" ht="15.75" thickBot="1" x14ac:dyDescent="0.3">
      <c r="A26" s="153" t="s">
        <v>261</v>
      </c>
      <c r="B26" s="97" t="s">
        <v>411</v>
      </c>
      <c r="C26" s="177" t="s">
        <v>341</v>
      </c>
      <c r="D26" s="158" t="s">
        <v>172</v>
      </c>
      <c r="E26" s="157" t="s">
        <v>173</v>
      </c>
      <c r="F26" s="98"/>
      <c r="G26" s="90"/>
      <c r="H26" s="84"/>
      <c r="I26" s="84"/>
      <c r="J26" s="84"/>
      <c r="K26" s="173"/>
      <c r="L26" s="108"/>
      <c r="M26" s="85"/>
      <c r="N26" s="85" t="s">
        <v>23</v>
      </c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6"/>
      <c r="Z26" s="85"/>
      <c r="AA26" s="85"/>
      <c r="AB26" s="85"/>
      <c r="AC26" s="85"/>
    </row>
    <row r="27" spans="1:29" s="46" customFormat="1" ht="15.75" thickBot="1" x14ac:dyDescent="0.3">
      <c r="A27" s="94" t="s">
        <v>273</v>
      </c>
      <c r="B27" s="97" t="s">
        <v>273</v>
      </c>
      <c r="C27" s="177" t="s">
        <v>341</v>
      </c>
      <c r="D27" s="158" t="s">
        <v>172</v>
      </c>
      <c r="E27" s="157" t="s">
        <v>173</v>
      </c>
      <c r="F27" s="98"/>
      <c r="G27" s="90"/>
      <c r="H27" s="84"/>
      <c r="I27" s="84"/>
      <c r="J27" s="84"/>
      <c r="K27" s="173"/>
      <c r="L27" s="108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6"/>
      <c r="Z27" s="85"/>
      <c r="AA27" s="85"/>
      <c r="AB27" s="85" t="s">
        <v>23</v>
      </c>
      <c r="AC27" s="85" t="s">
        <v>23</v>
      </c>
    </row>
    <row r="28" spans="1:29" s="46" customFormat="1" ht="15.75" thickBot="1" x14ac:dyDescent="0.3">
      <c r="A28" s="94" t="s">
        <v>287</v>
      </c>
      <c r="B28" s="97" t="s">
        <v>392</v>
      </c>
      <c r="C28" s="177" t="s">
        <v>341</v>
      </c>
      <c r="D28" s="158" t="s">
        <v>172</v>
      </c>
      <c r="E28" s="157" t="s">
        <v>173</v>
      </c>
      <c r="F28" s="98"/>
      <c r="G28" s="90"/>
      <c r="H28" s="84"/>
      <c r="I28" s="84"/>
      <c r="J28" s="84"/>
      <c r="K28" s="173"/>
      <c r="L28" s="108"/>
      <c r="M28" s="85"/>
      <c r="N28" s="85"/>
      <c r="O28" s="85"/>
      <c r="P28" s="85"/>
      <c r="Q28" s="85"/>
      <c r="R28" s="85" t="s">
        <v>23</v>
      </c>
      <c r="S28" s="85"/>
      <c r="T28" s="85"/>
      <c r="U28" s="85"/>
      <c r="V28" s="85"/>
      <c r="W28" s="85"/>
      <c r="X28" s="85"/>
      <c r="Y28" s="86"/>
      <c r="Z28" s="85"/>
      <c r="AA28" s="85" t="s">
        <v>23</v>
      </c>
      <c r="AB28" s="85"/>
      <c r="AC28" s="85"/>
    </row>
    <row r="29" spans="1:29" s="46" customFormat="1" ht="15.75" thickBot="1" x14ac:dyDescent="0.3">
      <c r="A29" s="153" t="s">
        <v>293</v>
      </c>
      <c r="B29" s="97" t="s">
        <v>396</v>
      </c>
      <c r="C29" s="177" t="s">
        <v>341</v>
      </c>
      <c r="D29" s="158" t="s">
        <v>154</v>
      </c>
      <c r="E29" s="157" t="s">
        <v>153</v>
      </c>
      <c r="F29" s="98"/>
      <c r="G29" s="90"/>
      <c r="H29" s="84"/>
      <c r="I29" s="84"/>
      <c r="J29" s="84"/>
      <c r="K29" s="173"/>
      <c r="L29" s="108"/>
      <c r="M29" s="85"/>
      <c r="N29" s="85"/>
      <c r="O29" s="85"/>
      <c r="P29" s="85"/>
      <c r="Q29" s="85"/>
      <c r="R29" s="85" t="s">
        <v>23</v>
      </c>
      <c r="S29" s="85"/>
      <c r="T29" s="85"/>
      <c r="U29" s="85"/>
      <c r="V29" s="85"/>
      <c r="W29" s="85"/>
      <c r="X29" s="85"/>
      <c r="Y29" s="86"/>
      <c r="Z29" s="85"/>
      <c r="AA29" s="85"/>
      <c r="AB29" s="85"/>
      <c r="AC29" s="85"/>
    </row>
    <row r="30" spans="1:29" s="46" customFormat="1" ht="15.75" thickBot="1" x14ac:dyDescent="0.3">
      <c r="A30" s="94" t="s">
        <v>297</v>
      </c>
      <c r="B30" s="97" t="s">
        <v>400</v>
      </c>
      <c r="C30" s="177" t="s">
        <v>341</v>
      </c>
      <c r="D30" s="158" t="s">
        <v>172</v>
      </c>
      <c r="E30" s="157" t="s">
        <v>173</v>
      </c>
      <c r="F30" s="98"/>
      <c r="G30" s="90"/>
      <c r="H30" s="84"/>
      <c r="I30" s="84"/>
      <c r="J30" s="84"/>
      <c r="K30" s="173"/>
      <c r="L30" s="108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6"/>
      <c r="Z30" s="85"/>
      <c r="AA30" s="85"/>
      <c r="AB30" s="85" t="s">
        <v>23</v>
      </c>
      <c r="AC30" s="85"/>
    </row>
    <row r="31" spans="1:29" s="46" customFormat="1" ht="15.75" thickBot="1" x14ac:dyDescent="0.3">
      <c r="A31" s="94" t="s">
        <v>296</v>
      </c>
      <c r="B31" s="97" t="s">
        <v>399</v>
      </c>
      <c r="C31" s="177" t="s">
        <v>341</v>
      </c>
      <c r="D31" s="158" t="s">
        <v>172</v>
      </c>
      <c r="E31" s="157" t="s">
        <v>173</v>
      </c>
      <c r="F31" s="98"/>
      <c r="G31" s="90"/>
      <c r="H31" s="84"/>
      <c r="I31" s="84"/>
      <c r="J31" s="84"/>
      <c r="K31" s="173"/>
      <c r="L31" s="108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6"/>
      <c r="Z31" s="85"/>
      <c r="AA31" s="85"/>
      <c r="AB31" s="85" t="s">
        <v>23</v>
      </c>
      <c r="AC31" s="85" t="s">
        <v>23</v>
      </c>
    </row>
    <row r="32" spans="1:29" s="46" customFormat="1" ht="15.75" thickBot="1" x14ac:dyDescent="0.3">
      <c r="A32" s="153" t="s">
        <v>378</v>
      </c>
      <c r="B32" s="97" t="s">
        <v>393</v>
      </c>
      <c r="C32" s="177" t="s">
        <v>341</v>
      </c>
      <c r="D32" s="158" t="s">
        <v>154</v>
      </c>
      <c r="E32" s="157" t="s">
        <v>153</v>
      </c>
      <c r="F32" s="98"/>
      <c r="G32" s="90"/>
      <c r="H32" s="84"/>
      <c r="I32" s="84"/>
      <c r="J32" s="84"/>
      <c r="K32" s="173"/>
      <c r="L32" s="108"/>
      <c r="M32" s="85"/>
      <c r="N32" s="85"/>
      <c r="O32" s="85"/>
      <c r="P32" s="85"/>
      <c r="Q32" s="85"/>
      <c r="R32" s="85" t="s">
        <v>23</v>
      </c>
      <c r="S32" s="85"/>
      <c r="T32" s="85"/>
      <c r="U32" s="85"/>
      <c r="V32" s="85"/>
      <c r="W32" s="85"/>
      <c r="X32" s="85"/>
      <c r="Y32" s="86"/>
      <c r="Z32" s="85"/>
      <c r="AA32" s="85"/>
      <c r="AB32" s="85"/>
      <c r="AC32" s="85"/>
    </row>
    <row r="33" spans="1:29" s="46" customFormat="1" ht="15.75" thickBot="1" x14ac:dyDescent="0.3">
      <c r="A33" s="94" t="s">
        <v>283</v>
      </c>
      <c r="B33" s="97" t="s">
        <v>401</v>
      </c>
      <c r="C33" s="177" t="s">
        <v>341</v>
      </c>
      <c r="D33" s="158" t="s">
        <v>172</v>
      </c>
      <c r="E33" s="157" t="s">
        <v>173</v>
      </c>
      <c r="F33" s="98"/>
      <c r="G33" s="90"/>
      <c r="H33" s="84"/>
      <c r="I33" s="84"/>
      <c r="J33" s="84"/>
      <c r="K33" s="173"/>
      <c r="L33" s="108"/>
      <c r="M33" s="85"/>
      <c r="N33" s="85"/>
      <c r="O33" s="85"/>
      <c r="P33" s="85"/>
      <c r="Q33" s="85"/>
      <c r="R33" s="85"/>
      <c r="S33" s="85" t="s">
        <v>23</v>
      </c>
      <c r="T33" s="85"/>
      <c r="U33" s="85"/>
      <c r="V33" s="85"/>
      <c r="W33" s="85"/>
      <c r="X33" s="85"/>
      <c r="Y33" s="86"/>
      <c r="Z33" s="85"/>
      <c r="AA33" s="85"/>
      <c r="AB33" s="85"/>
      <c r="AC33" s="85"/>
    </row>
    <row r="34" spans="1:29" s="46" customFormat="1" ht="15.75" thickBot="1" x14ac:dyDescent="0.3">
      <c r="A34" s="94" t="s">
        <v>269</v>
      </c>
      <c r="B34" s="97" t="s">
        <v>397</v>
      </c>
      <c r="C34" s="177" t="s">
        <v>342</v>
      </c>
      <c r="D34" s="158" t="s">
        <v>343</v>
      </c>
      <c r="E34" s="157" t="s">
        <v>344</v>
      </c>
      <c r="F34" s="98" t="s">
        <v>345</v>
      </c>
      <c r="G34" s="90"/>
      <c r="H34" s="84"/>
      <c r="I34" s="84"/>
      <c r="J34" s="84"/>
      <c r="K34" s="173"/>
      <c r="L34" s="108"/>
      <c r="M34" s="85"/>
      <c r="N34" s="85"/>
      <c r="O34" s="85"/>
      <c r="P34" s="85"/>
      <c r="Q34" s="85"/>
      <c r="R34" s="85"/>
      <c r="S34" s="85"/>
      <c r="T34" s="85"/>
      <c r="U34" s="85"/>
      <c r="V34" s="85" t="s">
        <v>23</v>
      </c>
      <c r="W34" s="85"/>
      <c r="X34" s="85"/>
      <c r="Y34" s="86"/>
      <c r="Z34" s="85" t="s">
        <v>23</v>
      </c>
      <c r="AA34" s="85"/>
      <c r="AB34" s="85"/>
      <c r="AC34" s="85"/>
    </row>
    <row r="35" spans="1:29" s="46" customFormat="1" ht="15.75" thickBot="1" x14ac:dyDescent="0.3">
      <c r="A35" s="94" t="s">
        <v>300</v>
      </c>
      <c r="B35" s="97" t="s">
        <v>398</v>
      </c>
      <c r="C35" s="177" t="s">
        <v>342</v>
      </c>
      <c r="D35" s="158" t="s">
        <v>343</v>
      </c>
      <c r="E35" s="157" t="s">
        <v>344</v>
      </c>
      <c r="F35" s="98" t="s">
        <v>345</v>
      </c>
      <c r="G35" s="90"/>
      <c r="H35" s="84"/>
      <c r="I35" s="84"/>
      <c r="J35" s="84"/>
      <c r="K35" s="173"/>
      <c r="L35" s="108"/>
      <c r="M35" s="85"/>
      <c r="N35" s="85"/>
      <c r="O35" s="85" t="s">
        <v>23</v>
      </c>
      <c r="P35" s="85"/>
      <c r="Q35" s="85" t="s">
        <v>23</v>
      </c>
      <c r="R35" s="85"/>
      <c r="S35" s="85"/>
      <c r="T35" s="85"/>
      <c r="U35" s="85"/>
      <c r="V35" s="85"/>
      <c r="W35" s="85"/>
      <c r="X35" s="85" t="s">
        <v>23</v>
      </c>
      <c r="Y35" s="86"/>
      <c r="Z35" s="85" t="s">
        <v>23</v>
      </c>
      <c r="AA35" s="88"/>
      <c r="AB35" s="85"/>
      <c r="AC35" s="85" t="s">
        <v>23</v>
      </c>
    </row>
    <row r="36" spans="1:29" s="46" customFormat="1" ht="15.75" thickBot="1" x14ac:dyDescent="0.3">
      <c r="A36" s="96" t="s">
        <v>318</v>
      </c>
      <c r="B36" s="169" t="s">
        <v>318</v>
      </c>
      <c r="C36" s="177" t="s">
        <v>342</v>
      </c>
      <c r="D36" s="158" t="s">
        <v>343</v>
      </c>
      <c r="E36" s="157" t="s">
        <v>344</v>
      </c>
      <c r="F36" s="98" t="s">
        <v>345</v>
      </c>
      <c r="G36" s="159"/>
      <c r="H36" s="106"/>
      <c r="I36" s="106"/>
      <c r="J36" s="106"/>
      <c r="K36" s="175"/>
      <c r="L36" s="140"/>
      <c r="M36" s="88"/>
      <c r="N36" s="88"/>
      <c r="O36" s="88"/>
      <c r="P36" s="88"/>
      <c r="Q36" s="88"/>
      <c r="R36" s="88"/>
      <c r="S36" s="88"/>
      <c r="T36" s="88"/>
      <c r="U36" s="88" t="s">
        <v>259</v>
      </c>
      <c r="V36" s="88"/>
      <c r="W36" s="88"/>
      <c r="X36" s="88"/>
      <c r="Y36" s="156"/>
      <c r="Z36" s="88"/>
      <c r="AA36" s="88"/>
      <c r="AB36" s="88"/>
      <c r="AC36" s="88"/>
    </row>
    <row r="37" spans="1:29" s="46" customFormat="1" ht="15.75" thickBot="1" x14ac:dyDescent="0.3">
      <c r="A37" s="96" t="s">
        <v>319</v>
      </c>
      <c r="B37" s="169" t="s">
        <v>319</v>
      </c>
      <c r="C37" s="177" t="s">
        <v>342</v>
      </c>
      <c r="D37" s="158" t="s">
        <v>343</v>
      </c>
      <c r="E37" s="157" t="s">
        <v>344</v>
      </c>
      <c r="F37" s="98" t="s">
        <v>345</v>
      </c>
      <c r="G37" s="159"/>
      <c r="H37" s="106"/>
      <c r="I37" s="106"/>
      <c r="J37" s="106"/>
      <c r="K37" s="175"/>
      <c r="L37" s="140"/>
      <c r="M37" s="88"/>
      <c r="N37" s="88"/>
      <c r="O37" s="88"/>
      <c r="P37" s="88"/>
      <c r="Q37" s="88"/>
      <c r="R37" s="88"/>
      <c r="S37" s="88"/>
      <c r="T37" s="88"/>
      <c r="U37" s="88" t="s">
        <v>259</v>
      </c>
      <c r="V37" s="88"/>
      <c r="W37" s="88"/>
      <c r="X37" s="88"/>
      <c r="Y37" s="156"/>
      <c r="Z37" s="88"/>
      <c r="AA37" s="88"/>
      <c r="AB37" s="88"/>
      <c r="AC37" s="88"/>
    </row>
    <row r="38" spans="1:29" s="46" customFormat="1" ht="15.75" thickBot="1" x14ac:dyDescent="0.3">
      <c r="A38" s="96" t="s">
        <v>320</v>
      </c>
      <c r="B38" s="169" t="s">
        <v>320</v>
      </c>
      <c r="C38" s="177" t="s">
        <v>342</v>
      </c>
      <c r="D38" s="158" t="s">
        <v>343</v>
      </c>
      <c r="E38" s="157" t="s">
        <v>344</v>
      </c>
      <c r="F38" s="98" t="s">
        <v>345</v>
      </c>
      <c r="G38" s="159"/>
      <c r="H38" s="106"/>
      <c r="I38" s="106"/>
      <c r="J38" s="106"/>
      <c r="K38" s="175"/>
      <c r="L38" s="140"/>
      <c r="M38" s="88"/>
      <c r="N38" s="88"/>
      <c r="O38" s="88"/>
      <c r="P38" s="88"/>
      <c r="Q38" s="88"/>
      <c r="R38" s="88"/>
      <c r="S38" s="88"/>
      <c r="T38" s="88"/>
      <c r="U38" s="88" t="s">
        <v>259</v>
      </c>
      <c r="V38" s="88"/>
      <c r="W38" s="88"/>
      <c r="X38" s="88"/>
      <c r="Y38" s="156"/>
      <c r="Z38" s="88"/>
      <c r="AA38" s="88"/>
      <c r="AB38" s="88"/>
      <c r="AC38" s="88"/>
    </row>
    <row r="39" spans="1:29" s="46" customFormat="1" ht="15.75" thickBot="1" x14ac:dyDescent="0.3">
      <c r="A39" s="96" t="s">
        <v>321</v>
      </c>
      <c r="B39" s="169" t="s">
        <v>321</v>
      </c>
      <c r="C39" s="177" t="s">
        <v>342</v>
      </c>
      <c r="D39" s="158" t="s">
        <v>343</v>
      </c>
      <c r="E39" s="157" t="s">
        <v>344</v>
      </c>
      <c r="F39" s="98" t="s">
        <v>345</v>
      </c>
      <c r="G39" s="159"/>
      <c r="H39" s="106"/>
      <c r="I39" s="106"/>
      <c r="J39" s="106"/>
      <c r="K39" s="175"/>
      <c r="L39" s="140"/>
      <c r="M39" s="88"/>
      <c r="N39" s="88"/>
      <c r="O39" s="88"/>
      <c r="P39" s="88"/>
      <c r="Q39" s="88"/>
      <c r="R39" s="88"/>
      <c r="S39" s="88"/>
      <c r="T39" s="88"/>
      <c r="U39" s="88" t="s">
        <v>259</v>
      </c>
      <c r="V39" s="88"/>
      <c r="W39" s="88"/>
      <c r="X39" s="88"/>
      <c r="Y39" s="156"/>
      <c r="Z39" s="88"/>
      <c r="AA39" s="88"/>
      <c r="AB39" s="88"/>
      <c r="AC39" s="88"/>
    </row>
    <row r="40" spans="1:29" s="46" customFormat="1" ht="15.75" thickBot="1" x14ac:dyDescent="0.3">
      <c r="A40" s="96" t="s">
        <v>322</v>
      </c>
      <c r="B40" s="169" t="s">
        <v>322</v>
      </c>
      <c r="C40" s="177" t="s">
        <v>342</v>
      </c>
      <c r="D40" s="158" t="s">
        <v>343</v>
      </c>
      <c r="E40" s="157" t="s">
        <v>344</v>
      </c>
      <c r="F40" s="98" t="s">
        <v>345</v>
      </c>
      <c r="G40" s="159"/>
      <c r="H40" s="106"/>
      <c r="I40" s="106"/>
      <c r="J40" s="106"/>
      <c r="K40" s="175"/>
      <c r="L40" s="140" t="s">
        <v>259</v>
      </c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156"/>
      <c r="Z40" s="88"/>
      <c r="AA40" s="88"/>
      <c r="AB40" s="88"/>
      <c r="AC40" s="88"/>
    </row>
    <row r="41" spans="1:29" s="46" customFormat="1" ht="15.75" thickBot="1" x14ac:dyDescent="0.3">
      <c r="A41" s="94" t="s">
        <v>376</v>
      </c>
      <c r="B41" s="97" t="s">
        <v>406</v>
      </c>
      <c r="C41" s="177" t="s">
        <v>341</v>
      </c>
      <c r="D41" s="158" t="s">
        <v>154</v>
      </c>
      <c r="E41" s="157" t="s">
        <v>153</v>
      </c>
      <c r="F41" s="98"/>
      <c r="G41" s="90"/>
      <c r="H41" s="84"/>
      <c r="I41" s="84"/>
      <c r="J41" s="84"/>
      <c r="K41" s="173"/>
      <c r="L41" s="108"/>
      <c r="M41" s="85"/>
      <c r="N41" s="85"/>
      <c r="O41" s="85"/>
      <c r="P41" s="85" t="s">
        <v>23</v>
      </c>
      <c r="Q41" s="85"/>
      <c r="R41" s="85"/>
      <c r="S41" s="85"/>
      <c r="T41" s="85"/>
      <c r="U41" s="85"/>
      <c r="V41" s="85"/>
      <c r="W41" s="85" t="s">
        <v>23</v>
      </c>
      <c r="X41" s="85" t="s">
        <v>23</v>
      </c>
      <c r="Y41" s="86"/>
      <c r="Z41" s="85"/>
      <c r="AA41" s="85"/>
      <c r="AB41" s="85"/>
      <c r="AC41" s="85"/>
    </row>
    <row r="42" spans="1:29" s="46" customFormat="1" ht="15.75" thickBot="1" x14ac:dyDescent="0.3">
      <c r="A42" s="94" t="s">
        <v>267</v>
      </c>
      <c r="B42" s="97" t="s">
        <v>395</v>
      </c>
      <c r="C42" s="177" t="s">
        <v>341</v>
      </c>
      <c r="D42" s="158" t="s">
        <v>154</v>
      </c>
      <c r="E42" s="157" t="s">
        <v>153</v>
      </c>
      <c r="F42" s="98"/>
      <c r="G42" s="90"/>
      <c r="H42" s="84"/>
      <c r="I42" s="84"/>
      <c r="J42" s="84"/>
      <c r="K42" s="173"/>
      <c r="L42" s="108"/>
      <c r="M42" s="85"/>
      <c r="N42" s="85"/>
      <c r="O42" s="85"/>
      <c r="P42" s="85"/>
      <c r="Q42" s="85"/>
      <c r="R42" s="85"/>
      <c r="S42" s="85"/>
      <c r="T42" s="85" t="s">
        <v>23</v>
      </c>
      <c r="U42" s="85" t="s">
        <v>23</v>
      </c>
      <c r="V42" s="85"/>
      <c r="W42" s="85"/>
      <c r="X42" s="85"/>
      <c r="Y42" s="86"/>
      <c r="Z42" s="85"/>
      <c r="AA42" s="85"/>
      <c r="AB42" s="85"/>
      <c r="AC42" s="85"/>
    </row>
    <row r="43" spans="1:29" s="46" customFormat="1" ht="15.75" thickBot="1" x14ac:dyDescent="0.3">
      <c r="A43" s="94" t="s">
        <v>294</v>
      </c>
      <c r="B43" s="97" t="s">
        <v>405</v>
      </c>
      <c r="C43" s="177" t="s">
        <v>341</v>
      </c>
      <c r="D43" s="158" t="s">
        <v>172</v>
      </c>
      <c r="E43" s="157" t="s">
        <v>173</v>
      </c>
      <c r="F43" s="98"/>
      <c r="G43" s="90"/>
      <c r="H43" s="84"/>
      <c r="I43" s="84"/>
      <c r="J43" s="84"/>
      <c r="K43" s="173"/>
      <c r="L43" s="108"/>
      <c r="M43" s="85"/>
      <c r="N43" s="85"/>
      <c r="O43" s="85"/>
      <c r="P43" s="85"/>
      <c r="Q43" s="85"/>
      <c r="R43" s="85"/>
      <c r="S43" s="85"/>
      <c r="T43" s="85" t="s">
        <v>23</v>
      </c>
      <c r="U43" s="85"/>
      <c r="V43" s="85"/>
      <c r="W43" s="85"/>
      <c r="X43" s="85"/>
      <c r="Y43" s="86"/>
      <c r="Z43" s="85"/>
      <c r="AA43" s="85"/>
      <c r="AB43" s="85"/>
      <c r="AC43" s="85"/>
    </row>
    <row r="44" spans="1:29" s="46" customFormat="1" ht="15.75" thickBot="1" x14ac:dyDescent="0.3">
      <c r="A44" s="96" t="s">
        <v>76</v>
      </c>
      <c r="B44" s="97" t="s">
        <v>76</v>
      </c>
      <c r="C44" s="177" t="s">
        <v>341</v>
      </c>
      <c r="D44" s="158" t="s">
        <v>172</v>
      </c>
      <c r="E44" s="157" t="s">
        <v>173</v>
      </c>
      <c r="F44" s="98"/>
      <c r="G44" s="90"/>
      <c r="H44" s="84"/>
      <c r="I44" s="84"/>
      <c r="J44" s="84"/>
      <c r="K44" s="173"/>
      <c r="L44" s="108" t="s">
        <v>259</v>
      </c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6"/>
      <c r="Z44" s="85"/>
      <c r="AA44" s="85"/>
      <c r="AB44" s="85"/>
      <c r="AC44" s="85"/>
    </row>
    <row r="45" spans="1:29" s="46" customFormat="1" ht="15.75" thickBot="1" x14ac:dyDescent="0.3">
      <c r="A45" s="163" t="s">
        <v>14</v>
      </c>
      <c r="B45" s="97" t="s">
        <v>14</v>
      </c>
      <c r="C45" s="177" t="s">
        <v>341</v>
      </c>
      <c r="D45" s="158" t="s">
        <v>172</v>
      </c>
      <c r="E45" s="157" t="s">
        <v>173</v>
      </c>
      <c r="F45" s="98"/>
      <c r="G45" s="90" t="s">
        <v>76</v>
      </c>
      <c r="H45" s="84"/>
      <c r="I45" s="84"/>
      <c r="J45" s="84"/>
      <c r="K45" s="173"/>
      <c r="L45" s="108" t="s">
        <v>23</v>
      </c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6"/>
      <c r="Z45" s="85"/>
      <c r="AA45" s="85"/>
      <c r="AB45" s="85"/>
      <c r="AC45" s="85"/>
    </row>
    <row r="46" spans="1:29" s="46" customFormat="1" ht="15.75" thickBot="1" x14ac:dyDescent="0.3">
      <c r="A46" s="96" t="s">
        <v>373</v>
      </c>
      <c r="B46" s="97" t="s">
        <v>373</v>
      </c>
      <c r="C46" s="177" t="s">
        <v>341</v>
      </c>
      <c r="D46" s="158" t="s">
        <v>172</v>
      </c>
      <c r="E46" s="157" t="s">
        <v>173</v>
      </c>
      <c r="F46" s="98"/>
      <c r="G46" s="90"/>
      <c r="H46" s="84"/>
      <c r="I46" s="84"/>
      <c r="J46" s="84"/>
      <c r="K46" s="173"/>
      <c r="L46" s="108" t="s">
        <v>23</v>
      </c>
      <c r="M46" s="85"/>
      <c r="N46" s="85" t="s">
        <v>23</v>
      </c>
      <c r="O46" s="85"/>
      <c r="P46" s="85"/>
      <c r="Q46" s="85"/>
      <c r="R46" s="85"/>
      <c r="S46" s="85"/>
      <c r="T46" s="85"/>
      <c r="U46" s="85" t="s">
        <v>23</v>
      </c>
      <c r="V46" s="85"/>
      <c r="W46" s="85" t="s">
        <v>23</v>
      </c>
      <c r="X46" s="85"/>
      <c r="Y46" s="86"/>
      <c r="Z46" s="85"/>
      <c r="AA46" s="85"/>
      <c r="AB46" s="85"/>
      <c r="AC46" s="85"/>
    </row>
    <row r="47" spans="1:29" s="46" customFormat="1" ht="15.75" thickBot="1" x14ac:dyDescent="0.3">
      <c r="A47" s="96" t="s">
        <v>368</v>
      </c>
      <c r="B47" s="97" t="s">
        <v>412</v>
      </c>
      <c r="C47" s="177" t="s">
        <v>341</v>
      </c>
      <c r="D47" s="158" t="s">
        <v>172</v>
      </c>
      <c r="E47" s="157" t="s">
        <v>173</v>
      </c>
      <c r="F47" s="98"/>
      <c r="G47" s="90"/>
      <c r="H47" s="84"/>
      <c r="I47" s="84"/>
      <c r="J47" s="84"/>
      <c r="K47" s="173"/>
      <c r="L47" s="108" t="s">
        <v>259</v>
      </c>
      <c r="M47" s="85"/>
      <c r="N47" s="85"/>
      <c r="O47" s="85" t="s">
        <v>23</v>
      </c>
      <c r="P47" s="85"/>
      <c r="Q47" s="85"/>
      <c r="R47" s="85"/>
      <c r="S47" s="85"/>
      <c r="T47" s="85" t="s">
        <v>259</v>
      </c>
      <c r="U47" s="85"/>
      <c r="V47" s="85" t="s">
        <v>259</v>
      </c>
      <c r="W47" s="85" t="s">
        <v>259</v>
      </c>
      <c r="X47" s="85" t="s">
        <v>259</v>
      </c>
      <c r="Y47" s="86"/>
      <c r="Z47" s="85"/>
      <c r="AA47" s="85"/>
      <c r="AB47" s="85"/>
      <c r="AC47" s="85"/>
    </row>
    <row r="48" spans="1:29" s="46" customFormat="1" ht="15.75" thickBot="1" x14ac:dyDescent="0.3">
      <c r="A48" s="94" t="s">
        <v>254</v>
      </c>
      <c r="B48" s="97" t="s">
        <v>413</v>
      </c>
      <c r="C48" s="177" t="s">
        <v>342</v>
      </c>
      <c r="D48" s="158" t="s">
        <v>343</v>
      </c>
      <c r="E48" s="157" t="s">
        <v>344</v>
      </c>
      <c r="F48" s="98" t="s">
        <v>345</v>
      </c>
      <c r="G48" s="90"/>
      <c r="H48" s="84"/>
      <c r="I48" s="84"/>
      <c r="J48" s="84"/>
      <c r="K48" s="173"/>
      <c r="L48" s="108" t="s">
        <v>259</v>
      </c>
      <c r="M48" s="85"/>
      <c r="N48" s="85"/>
      <c r="O48" s="85"/>
      <c r="P48" s="85"/>
      <c r="Q48" s="85"/>
      <c r="R48" s="85"/>
      <c r="S48" s="85"/>
      <c r="T48" s="85" t="s">
        <v>259</v>
      </c>
      <c r="U48" s="85"/>
      <c r="V48" s="85" t="s">
        <v>259</v>
      </c>
      <c r="W48" s="85" t="s">
        <v>259</v>
      </c>
      <c r="X48" s="85" t="s">
        <v>259</v>
      </c>
      <c r="Y48" s="86"/>
      <c r="Z48" s="85" t="s">
        <v>23</v>
      </c>
      <c r="AA48" s="85" t="s">
        <v>23</v>
      </c>
      <c r="AB48" s="85"/>
      <c r="AC48" s="85"/>
    </row>
    <row r="49" spans="1:29" s="46" customFormat="1" ht="15.75" thickBot="1" x14ac:dyDescent="0.3">
      <c r="A49" s="96" t="s">
        <v>367</v>
      </c>
      <c r="B49" s="97" t="s">
        <v>367</v>
      </c>
      <c r="C49" s="177" t="s">
        <v>342</v>
      </c>
      <c r="D49" s="158" t="s">
        <v>172</v>
      </c>
      <c r="E49" s="157" t="s">
        <v>173</v>
      </c>
      <c r="F49" s="98"/>
      <c r="G49" s="159" t="s">
        <v>412</v>
      </c>
      <c r="H49" s="84" t="s">
        <v>413</v>
      </c>
      <c r="I49" s="84"/>
      <c r="J49" s="84"/>
      <c r="K49" s="173"/>
      <c r="L49" s="108" t="s">
        <v>23</v>
      </c>
      <c r="M49" s="85"/>
      <c r="N49" s="85"/>
      <c r="O49" s="85"/>
      <c r="P49" s="85"/>
      <c r="Q49" s="85"/>
      <c r="R49" s="85"/>
      <c r="S49" s="85"/>
      <c r="T49" s="85" t="s">
        <v>23</v>
      </c>
      <c r="U49" s="85"/>
      <c r="V49" s="85" t="s">
        <v>23</v>
      </c>
      <c r="W49" s="85" t="s">
        <v>23</v>
      </c>
      <c r="X49" s="85" t="s">
        <v>23</v>
      </c>
      <c r="Y49" s="86"/>
      <c r="Z49" s="85"/>
      <c r="AA49" s="85"/>
      <c r="AB49" s="85"/>
      <c r="AC49" s="85"/>
    </row>
    <row r="50" spans="1:29" s="46" customFormat="1" ht="15.75" thickBot="1" x14ac:dyDescent="0.3">
      <c r="A50" s="94" t="s">
        <v>263</v>
      </c>
      <c r="B50" s="97" t="s">
        <v>403</v>
      </c>
      <c r="C50" s="177" t="s">
        <v>342</v>
      </c>
      <c r="D50" s="158" t="s">
        <v>343</v>
      </c>
      <c r="E50" s="157" t="s">
        <v>344</v>
      </c>
      <c r="F50" s="98" t="s">
        <v>345</v>
      </c>
      <c r="G50" s="90"/>
      <c r="H50" s="84"/>
      <c r="I50" s="84"/>
      <c r="J50" s="84"/>
      <c r="K50" s="173"/>
      <c r="L50" s="108"/>
      <c r="M50" s="85"/>
      <c r="N50" s="85"/>
      <c r="O50" s="85"/>
      <c r="P50" s="85"/>
      <c r="Q50" s="85" t="s">
        <v>23</v>
      </c>
      <c r="R50" s="85"/>
      <c r="S50" s="85"/>
      <c r="T50" s="85"/>
      <c r="U50" s="85"/>
      <c r="V50" s="85"/>
      <c r="W50" s="85"/>
      <c r="X50" s="85"/>
      <c r="Y50" s="86"/>
      <c r="Z50" s="85"/>
      <c r="AA50" s="85"/>
      <c r="AB50" s="85"/>
      <c r="AC50" s="85"/>
    </row>
    <row r="51" spans="1:29" s="46" customFormat="1" ht="15.75" thickBot="1" x14ac:dyDescent="0.3">
      <c r="A51" s="94" t="s">
        <v>301</v>
      </c>
      <c r="B51" s="97" t="s">
        <v>301</v>
      </c>
      <c r="C51" s="177" t="s">
        <v>342</v>
      </c>
      <c r="D51" s="158" t="s">
        <v>343</v>
      </c>
      <c r="E51" s="157" t="s">
        <v>344</v>
      </c>
      <c r="F51" s="98" t="s">
        <v>345</v>
      </c>
      <c r="G51" s="90"/>
      <c r="H51" s="84"/>
      <c r="I51" s="84"/>
      <c r="J51" s="84"/>
      <c r="K51" s="173"/>
      <c r="L51" s="108"/>
      <c r="M51" s="85"/>
      <c r="N51" s="85"/>
      <c r="O51" s="85" t="s">
        <v>23</v>
      </c>
      <c r="P51" s="85"/>
      <c r="Q51" s="85" t="s">
        <v>23</v>
      </c>
      <c r="R51" s="85"/>
      <c r="S51" s="85"/>
      <c r="T51" s="85"/>
      <c r="U51" s="85"/>
      <c r="V51" s="85"/>
      <c r="W51" s="85"/>
      <c r="X51" s="88"/>
      <c r="Y51" s="86"/>
      <c r="Z51" s="85"/>
      <c r="AA51" s="88"/>
      <c r="AB51" s="85"/>
      <c r="AC51" s="85" t="s">
        <v>23</v>
      </c>
    </row>
    <row r="52" spans="1:29" s="46" customFormat="1" ht="15.75" thickBot="1" x14ac:dyDescent="0.3">
      <c r="A52" s="94" t="s">
        <v>292</v>
      </c>
      <c r="B52" s="97" t="s">
        <v>292</v>
      </c>
      <c r="C52" s="177" t="s">
        <v>341</v>
      </c>
      <c r="D52" s="158" t="s">
        <v>172</v>
      </c>
      <c r="E52" s="157" t="s">
        <v>173</v>
      </c>
      <c r="F52" s="98"/>
      <c r="G52" s="90"/>
      <c r="H52" s="84"/>
      <c r="I52" s="84"/>
      <c r="J52" s="84"/>
      <c r="K52" s="173"/>
      <c r="L52" s="108"/>
      <c r="M52" s="85"/>
      <c r="N52" s="85"/>
      <c r="O52" s="85"/>
      <c r="P52" s="85" t="s">
        <v>23</v>
      </c>
      <c r="Q52" s="85"/>
      <c r="R52" s="85"/>
      <c r="S52" s="85"/>
      <c r="T52" s="85"/>
      <c r="U52" s="85"/>
      <c r="V52" s="85"/>
      <c r="W52" s="85"/>
      <c r="X52" s="85" t="s">
        <v>23</v>
      </c>
      <c r="Y52" s="86"/>
      <c r="Z52" s="85"/>
      <c r="AA52" s="85"/>
      <c r="AB52" s="85"/>
      <c r="AC52" s="85"/>
    </row>
    <row r="53" spans="1:29" s="46" customFormat="1" ht="15.75" thickBot="1" x14ac:dyDescent="0.3">
      <c r="A53" s="94" t="s">
        <v>278</v>
      </c>
      <c r="B53" s="97" t="s">
        <v>278</v>
      </c>
      <c r="C53" s="177" t="s">
        <v>341</v>
      </c>
      <c r="D53" s="158" t="s">
        <v>172</v>
      </c>
      <c r="E53" s="157" t="s">
        <v>173</v>
      </c>
      <c r="F53" s="98"/>
      <c r="G53" s="90"/>
      <c r="H53" s="84"/>
      <c r="I53" s="84"/>
      <c r="J53" s="84"/>
      <c r="K53" s="173"/>
      <c r="L53" s="108"/>
      <c r="M53" s="85" t="s">
        <v>23</v>
      </c>
      <c r="N53" s="88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6"/>
      <c r="Z53" s="85"/>
      <c r="AA53" s="85"/>
      <c r="AB53" s="85"/>
      <c r="AC53" s="85"/>
    </row>
    <row r="54" spans="1:29" s="46" customFormat="1" ht="15.75" thickBot="1" x14ac:dyDescent="0.3">
      <c r="A54" s="94" t="s">
        <v>285</v>
      </c>
      <c r="B54" s="97" t="s">
        <v>409</v>
      </c>
      <c r="C54" s="177" t="s">
        <v>341</v>
      </c>
      <c r="D54" s="158" t="s">
        <v>172</v>
      </c>
      <c r="E54" s="157" t="s">
        <v>173</v>
      </c>
      <c r="F54" s="98"/>
      <c r="G54" s="90"/>
      <c r="H54" s="84"/>
      <c r="I54" s="84"/>
      <c r="J54" s="84"/>
      <c r="K54" s="173"/>
      <c r="L54" s="108"/>
      <c r="M54" s="85"/>
      <c r="N54" s="85"/>
      <c r="O54" s="85"/>
      <c r="P54" s="85"/>
      <c r="Q54" s="85"/>
      <c r="R54" s="85"/>
      <c r="S54" s="85"/>
      <c r="T54" s="85" t="s">
        <v>23</v>
      </c>
      <c r="U54" s="85" t="s">
        <v>23</v>
      </c>
      <c r="V54" s="85"/>
      <c r="W54" s="85"/>
      <c r="X54" s="85"/>
      <c r="Y54" s="86"/>
      <c r="Z54" s="85"/>
      <c r="AA54" s="85"/>
      <c r="AB54" s="85"/>
      <c r="AC54" s="85"/>
    </row>
    <row r="55" spans="1:29" s="46" customFormat="1" ht="15.75" thickBot="1" x14ac:dyDescent="0.3">
      <c r="A55" s="94" t="s">
        <v>262</v>
      </c>
      <c r="B55" s="97" t="s">
        <v>262</v>
      </c>
      <c r="C55" s="177" t="s">
        <v>342</v>
      </c>
      <c r="D55" s="158" t="s">
        <v>343</v>
      </c>
      <c r="E55" s="157" t="s">
        <v>344</v>
      </c>
      <c r="F55" s="98" t="s">
        <v>345</v>
      </c>
      <c r="G55" s="90"/>
      <c r="H55" s="84"/>
      <c r="I55" s="84"/>
      <c r="J55" s="84"/>
      <c r="K55" s="173"/>
      <c r="L55" s="108"/>
      <c r="M55" s="85"/>
      <c r="N55" s="85"/>
      <c r="O55" s="85"/>
      <c r="P55" s="85" t="s">
        <v>23</v>
      </c>
      <c r="Q55" s="85"/>
      <c r="R55" s="85"/>
      <c r="S55" s="85" t="s">
        <v>23</v>
      </c>
      <c r="T55" s="85" t="s">
        <v>23</v>
      </c>
      <c r="U55" s="85"/>
      <c r="V55" s="85"/>
      <c r="W55" s="85"/>
      <c r="X55" s="85"/>
      <c r="Y55" s="86"/>
      <c r="Z55" s="85"/>
      <c r="AA55" s="85"/>
      <c r="AB55" s="85"/>
      <c r="AC55" s="85"/>
    </row>
    <row r="56" spans="1:29" s="46" customFormat="1" ht="15.75" thickBot="1" x14ac:dyDescent="0.3">
      <c r="A56" s="94" t="s">
        <v>281</v>
      </c>
      <c r="B56" s="97" t="s">
        <v>281</v>
      </c>
      <c r="C56" s="177" t="s">
        <v>342</v>
      </c>
      <c r="D56" s="158" t="s">
        <v>343</v>
      </c>
      <c r="E56" s="157" t="s">
        <v>344</v>
      </c>
      <c r="F56" s="98" t="s">
        <v>345</v>
      </c>
      <c r="G56" s="90"/>
      <c r="H56" s="84"/>
      <c r="I56" s="84"/>
      <c r="J56" s="84"/>
      <c r="K56" s="173"/>
      <c r="L56" s="108"/>
      <c r="M56" s="85"/>
      <c r="N56" s="85"/>
      <c r="O56" s="85" t="s">
        <v>23</v>
      </c>
      <c r="P56" s="85"/>
      <c r="Q56" s="85" t="s">
        <v>23</v>
      </c>
      <c r="R56" s="85"/>
      <c r="S56" s="85"/>
      <c r="T56" s="85"/>
      <c r="U56" s="85"/>
      <c r="V56" s="85" t="s">
        <v>23</v>
      </c>
      <c r="W56" s="85"/>
      <c r="X56" s="85"/>
      <c r="Y56" s="86"/>
      <c r="Z56" s="85" t="s">
        <v>23</v>
      </c>
      <c r="AA56" s="85" t="s">
        <v>23</v>
      </c>
      <c r="AB56" s="85"/>
      <c r="AC56" s="85"/>
    </row>
    <row r="57" spans="1:29" s="46" customFormat="1" ht="15.75" thickBot="1" x14ac:dyDescent="0.3">
      <c r="A57" s="153" t="s">
        <v>39</v>
      </c>
      <c r="B57" s="97" t="s">
        <v>39</v>
      </c>
      <c r="C57" s="177" t="s">
        <v>342</v>
      </c>
      <c r="D57" s="158" t="s">
        <v>343</v>
      </c>
      <c r="E57" s="157" t="s">
        <v>344</v>
      </c>
      <c r="F57" s="98" t="s">
        <v>345</v>
      </c>
      <c r="G57" s="90"/>
      <c r="H57" s="84"/>
      <c r="I57" s="84"/>
      <c r="J57" s="84"/>
      <c r="K57" s="173"/>
      <c r="L57" s="108"/>
      <c r="M57" s="85"/>
      <c r="N57" s="85"/>
      <c r="O57" s="85"/>
      <c r="P57" s="85" t="s">
        <v>23</v>
      </c>
      <c r="Q57" s="85"/>
      <c r="R57" s="85"/>
      <c r="S57" s="85"/>
      <c r="T57" s="85" t="s">
        <v>259</v>
      </c>
      <c r="U57" s="85"/>
      <c r="V57" s="85"/>
      <c r="W57" s="85"/>
      <c r="X57" s="85"/>
      <c r="Y57" s="86"/>
      <c r="Z57" s="85"/>
      <c r="AA57" s="85"/>
      <c r="AB57" s="85"/>
      <c r="AC57" s="85"/>
    </row>
    <row r="58" spans="1:29" s="46" customFormat="1" ht="15.75" thickBot="1" x14ac:dyDescent="0.3">
      <c r="A58" s="96" t="s">
        <v>276</v>
      </c>
      <c r="B58" s="97" t="s">
        <v>63</v>
      </c>
      <c r="C58" s="177" t="s">
        <v>342</v>
      </c>
      <c r="D58" s="158" t="s">
        <v>172</v>
      </c>
      <c r="E58" s="157" t="s">
        <v>173</v>
      </c>
      <c r="F58" s="98"/>
      <c r="G58" s="159" t="s">
        <v>322</v>
      </c>
      <c r="H58" s="84"/>
      <c r="I58" s="84"/>
      <c r="J58" s="84"/>
      <c r="K58" s="173"/>
      <c r="L58" s="108" t="s">
        <v>23</v>
      </c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6"/>
      <c r="Z58" s="85"/>
      <c r="AA58" s="85"/>
      <c r="AB58" s="85"/>
      <c r="AC58" s="85"/>
    </row>
    <row r="59" spans="1:29" s="46" customFormat="1" ht="15.75" thickBot="1" x14ac:dyDescent="0.3">
      <c r="A59" s="96" t="s">
        <v>19</v>
      </c>
      <c r="B59" s="97" t="s">
        <v>313</v>
      </c>
      <c r="C59" s="177" t="s">
        <v>342</v>
      </c>
      <c r="D59" s="158" t="s">
        <v>172</v>
      </c>
      <c r="E59" s="157" t="s">
        <v>173</v>
      </c>
      <c r="F59" s="98"/>
      <c r="G59" s="159" t="s">
        <v>318</v>
      </c>
      <c r="H59" s="106" t="s">
        <v>319</v>
      </c>
      <c r="I59" s="106" t="s">
        <v>320</v>
      </c>
      <c r="J59" s="106" t="s">
        <v>321</v>
      </c>
      <c r="K59" s="173"/>
      <c r="L59" s="108"/>
      <c r="M59" s="85"/>
      <c r="N59" s="85"/>
      <c r="O59" s="85"/>
      <c r="P59" s="85"/>
      <c r="Q59" s="85"/>
      <c r="R59" s="85"/>
      <c r="S59" s="85"/>
      <c r="T59" s="85"/>
      <c r="U59" s="85" t="s">
        <v>23</v>
      </c>
      <c r="V59" s="85"/>
      <c r="W59" s="85"/>
      <c r="X59" s="85"/>
      <c r="Y59" s="86"/>
      <c r="Z59" s="85"/>
      <c r="AA59" s="85"/>
      <c r="AB59" s="85"/>
      <c r="AC59" s="85"/>
    </row>
    <row r="60" spans="1:29" s="46" customFormat="1" ht="15.75" thickBot="1" x14ac:dyDescent="0.3">
      <c r="A60" s="96" t="s">
        <v>255</v>
      </c>
      <c r="B60" s="97" t="s">
        <v>59</v>
      </c>
      <c r="C60" s="177" t="s">
        <v>341</v>
      </c>
      <c r="D60" s="158" t="s">
        <v>172</v>
      </c>
      <c r="E60" s="157" t="s">
        <v>173</v>
      </c>
      <c r="F60" s="98"/>
      <c r="G60" s="90"/>
      <c r="H60" s="84"/>
      <c r="I60" s="84"/>
      <c r="J60" s="84"/>
      <c r="K60" s="173"/>
      <c r="L60" s="108" t="s">
        <v>23</v>
      </c>
      <c r="M60" s="88"/>
      <c r="N60" s="88"/>
      <c r="O60" s="88"/>
      <c r="P60" s="85" t="s">
        <v>23</v>
      </c>
      <c r="Q60" s="85"/>
      <c r="R60" s="85"/>
      <c r="S60" s="85"/>
      <c r="T60" s="85"/>
      <c r="U60" s="85"/>
      <c r="V60" s="85"/>
      <c r="W60" s="85"/>
      <c r="X60" s="85"/>
      <c r="Y60" s="86" t="s">
        <v>23</v>
      </c>
      <c r="Z60" s="85"/>
      <c r="AA60" s="85"/>
      <c r="AB60" s="85"/>
      <c r="AC60" s="85"/>
    </row>
    <row r="61" spans="1:29" s="46" customFormat="1" ht="15.75" thickBot="1" x14ac:dyDescent="0.3">
      <c r="A61" s="94" t="s">
        <v>258</v>
      </c>
      <c r="B61" s="97" t="s">
        <v>312</v>
      </c>
      <c r="C61" s="177" t="s">
        <v>342</v>
      </c>
      <c r="D61" s="158" t="s">
        <v>343</v>
      </c>
      <c r="E61" s="157" t="s">
        <v>344</v>
      </c>
      <c r="F61" s="98" t="s">
        <v>345</v>
      </c>
      <c r="G61" s="90"/>
      <c r="H61" s="84"/>
      <c r="I61" s="84"/>
      <c r="J61" s="84"/>
      <c r="K61" s="173"/>
      <c r="L61" s="108"/>
      <c r="M61" s="85" t="s">
        <v>23</v>
      </c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6"/>
      <c r="Z61" s="85"/>
      <c r="AA61" s="85"/>
      <c r="AB61" s="85"/>
      <c r="AC61" s="85"/>
    </row>
    <row r="62" spans="1:29" s="46" customFormat="1" ht="15.75" thickBot="1" x14ac:dyDescent="0.3">
      <c r="A62" s="153" t="s">
        <v>375</v>
      </c>
      <c r="B62" s="97" t="s">
        <v>414</v>
      </c>
      <c r="C62" s="177" t="s">
        <v>342</v>
      </c>
      <c r="D62" s="158" t="s">
        <v>343</v>
      </c>
      <c r="E62" s="157" t="s">
        <v>344</v>
      </c>
      <c r="F62" s="98" t="s">
        <v>345</v>
      </c>
      <c r="G62" s="90"/>
      <c r="H62" s="84"/>
      <c r="I62" s="84"/>
      <c r="J62" s="84"/>
      <c r="K62" s="173"/>
      <c r="L62" s="108"/>
      <c r="M62" s="85"/>
      <c r="N62" s="85"/>
      <c r="O62" s="85"/>
      <c r="P62" s="85"/>
      <c r="Q62" s="85"/>
      <c r="R62" s="85"/>
      <c r="S62" s="85"/>
      <c r="T62" s="85"/>
      <c r="U62" s="85"/>
      <c r="V62" s="85" t="s">
        <v>23</v>
      </c>
      <c r="W62" s="85"/>
      <c r="X62" s="85"/>
      <c r="Y62" s="86"/>
      <c r="Z62" s="85"/>
      <c r="AA62" s="85"/>
      <c r="AB62" s="85"/>
      <c r="AC62" s="85"/>
    </row>
    <row r="63" spans="1:29" s="46" customFormat="1" ht="15.75" thickBot="1" x14ac:dyDescent="0.3">
      <c r="A63" s="153" t="s">
        <v>253</v>
      </c>
      <c r="B63" s="97" t="s">
        <v>253</v>
      </c>
      <c r="C63" s="177" t="s">
        <v>342</v>
      </c>
      <c r="D63" s="158" t="s">
        <v>343</v>
      </c>
      <c r="E63" s="157" t="s">
        <v>344</v>
      </c>
      <c r="F63" s="98" t="s">
        <v>345</v>
      </c>
      <c r="G63" s="90"/>
      <c r="H63" s="84"/>
      <c r="I63" s="84"/>
      <c r="J63" s="84"/>
      <c r="K63" s="173"/>
      <c r="L63" s="108" t="s">
        <v>23</v>
      </c>
      <c r="M63" s="85"/>
      <c r="N63" s="85"/>
      <c r="O63" s="85"/>
      <c r="P63" s="85" t="s">
        <v>23</v>
      </c>
      <c r="Q63" s="85" t="s">
        <v>23</v>
      </c>
      <c r="R63" s="85" t="s">
        <v>23</v>
      </c>
      <c r="S63" s="85"/>
      <c r="T63" s="85"/>
      <c r="U63" s="85"/>
      <c r="V63" s="85" t="s">
        <v>23</v>
      </c>
      <c r="W63" s="85"/>
      <c r="X63" s="85"/>
      <c r="Y63" s="86"/>
      <c r="Z63" s="85" t="s">
        <v>23</v>
      </c>
      <c r="AA63" s="85" t="s">
        <v>23</v>
      </c>
      <c r="AB63" s="85"/>
      <c r="AC63" s="85"/>
    </row>
    <row r="64" spans="1:29" ht="15.75" thickBot="1" x14ac:dyDescent="0.3">
      <c r="A64" s="94" t="s">
        <v>252</v>
      </c>
      <c r="B64" s="97" t="s">
        <v>252</v>
      </c>
      <c r="C64" s="177" t="s">
        <v>342</v>
      </c>
      <c r="D64" s="158" t="s">
        <v>343</v>
      </c>
      <c r="E64" s="157" t="s">
        <v>344</v>
      </c>
      <c r="F64" s="98" t="s">
        <v>345</v>
      </c>
      <c r="G64" s="90"/>
      <c r="H64" s="84"/>
      <c r="I64" s="84"/>
      <c r="J64" s="84"/>
      <c r="K64" s="173"/>
      <c r="L64" s="108" t="s">
        <v>23</v>
      </c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6"/>
      <c r="Z64" s="85"/>
      <c r="AA64" s="85"/>
      <c r="AB64" s="85"/>
      <c r="AC64" s="85"/>
    </row>
    <row r="65" spans="1:29" ht="15.75" thickBot="1" x14ac:dyDescent="0.3">
      <c r="A65" s="94" t="s">
        <v>370</v>
      </c>
      <c r="B65" s="97" t="s">
        <v>415</v>
      </c>
      <c r="C65" s="177" t="s">
        <v>341</v>
      </c>
      <c r="D65" s="158" t="s">
        <v>154</v>
      </c>
      <c r="E65" s="157" t="s">
        <v>153</v>
      </c>
      <c r="F65" s="98"/>
      <c r="G65" s="90"/>
      <c r="H65" s="84"/>
      <c r="I65" s="84"/>
      <c r="J65" s="84"/>
      <c r="K65" s="173"/>
      <c r="L65" s="108"/>
      <c r="M65" s="85"/>
      <c r="N65" s="85"/>
      <c r="O65" s="85" t="s">
        <v>23</v>
      </c>
      <c r="P65" s="85"/>
      <c r="Q65" s="85"/>
      <c r="R65" s="85"/>
      <c r="S65" s="85"/>
      <c r="T65" s="85"/>
      <c r="U65" s="85"/>
      <c r="V65" s="85"/>
      <c r="W65" s="85"/>
      <c r="X65" s="85"/>
      <c r="Y65" s="86"/>
      <c r="Z65" s="85"/>
      <c r="AA65" s="85"/>
      <c r="AB65" s="85"/>
      <c r="AC65" s="85"/>
    </row>
    <row r="66" spans="1:29" ht="15.75" thickBot="1" x14ac:dyDescent="0.3">
      <c r="A66" s="163" t="s">
        <v>377</v>
      </c>
      <c r="B66" s="97" t="s">
        <v>410</v>
      </c>
      <c r="C66" s="177" t="s">
        <v>341</v>
      </c>
      <c r="D66" s="158" t="s">
        <v>172</v>
      </c>
      <c r="E66" s="157" t="s">
        <v>173</v>
      </c>
      <c r="F66" s="98"/>
      <c r="G66" s="90"/>
      <c r="H66" s="84"/>
      <c r="I66" s="84"/>
      <c r="J66" s="84"/>
      <c r="K66" s="173"/>
      <c r="L66" s="108"/>
      <c r="M66" s="85"/>
      <c r="N66" s="85"/>
      <c r="O66" s="85"/>
      <c r="P66" s="85"/>
      <c r="Q66" s="85"/>
      <c r="R66" s="85"/>
      <c r="S66" s="85"/>
      <c r="T66" s="85" t="s">
        <v>23</v>
      </c>
      <c r="U66" s="85" t="s">
        <v>23</v>
      </c>
      <c r="V66" s="85"/>
      <c r="W66" s="85" t="s">
        <v>23</v>
      </c>
      <c r="X66" s="85"/>
      <c r="Y66" s="86" t="s">
        <v>23</v>
      </c>
      <c r="Z66" s="85" t="s">
        <v>23</v>
      </c>
      <c r="AA66" s="85" t="s">
        <v>23</v>
      </c>
      <c r="AB66" s="85"/>
      <c r="AC66" s="85"/>
    </row>
    <row r="67" spans="1:29" ht="15.75" thickBot="1" x14ac:dyDescent="0.3">
      <c r="A67" s="94" t="s">
        <v>279</v>
      </c>
      <c r="B67" s="97" t="s">
        <v>416</v>
      </c>
      <c r="C67" s="177" t="s">
        <v>341</v>
      </c>
      <c r="D67" s="158" t="s">
        <v>172</v>
      </c>
      <c r="E67" s="157" t="s">
        <v>173</v>
      </c>
      <c r="F67" s="98"/>
      <c r="G67" s="90"/>
      <c r="H67" s="84"/>
      <c r="I67" s="84"/>
      <c r="J67" s="84"/>
      <c r="K67" s="173"/>
      <c r="L67" s="108"/>
      <c r="M67" s="85" t="s">
        <v>23</v>
      </c>
      <c r="N67" s="88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6"/>
      <c r="Z67" s="85"/>
      <c r="AA67" s="85"/>
      <c r="AB67" s="85"/>
      <c r="AC67" s="85"/>
    </row>
    <row r="68" spans="1:29" ht="15.75" thickBot="1" x14ac:dyDescent="0.3">
      <c r="A68" s="94" t="s">
        <v>369</v>
      </c>
      <c r="B68" s="97" t="s">
        <v>369</v>
      </c>
      <c r="C68" s="177" t="s">
        <v>341</v>
      </c>
      <c r="D68" s="158" t="s">
        <v>172</v>
      </c>
      <c r="E68" s="157" t="s">
        <v>173</v>
      </c>
      <c r="F68" s="98"/>
      <c r="G68" s="90"/>
      <c r="H68" s="84"/>
      <c r="I68" s="84"/>
      <c r="J68" s="84"/>
      <c r="K68" s="173"/>
      <c r="L68" s="108"/>
      <c r="M68" s="85" t="s">
        <v>23</v>
      </c>
      <c r="N68" s="88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6"/>
      <c r="Z68" s="85"/>
      <c r="AA68" s="85"/>
      <c r="AB68" s="85"/>
      <c r="AC68" s="85"/>
    </row>
    <row r="69" spans="1:29" x14ac:dyDescent="0.25">
      <c r="A69" s="186" t="s">
        <v>431</v>
      </c>
      <c r="B69" s="187" t="s">
        <v>332</v>
      </c>
      <c r="C69" s="177" t="s">
        <v>341</v>
      </c>
      <c r="D69" s="158" t="s">
        <v>154</v>
      </c>
      <c r="E69" s="157" t="s">
        <v>153</v>
      </c>
      <c r="F69" s="188"/>
      <c r="G69" s="84"/>
      <c r="H69" s="84"/>
      <c r="I69" s="84"/>
      <c r="J69" s="84"/>
      <c r="K69" s="173"/>
      <c r="L69" s="85"/>
      <c r="M69" s="85"/>
      <c r="N69" s="88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6" t="s">
        <v>23</v>
      </c>
      <c r="Z69" s="85"/>
      <c r="AA69" s="85"/>
      <c r="AB69" s="85"/>
      <c r="AC69" s="85"/>
    </row>
    <row r="70" spans="1:29" x14ac:dyDescent="0.25">
      <c r="A70" s="186" t="s">
        <v>432</v>
      </c>
      <c r="B70" s="187" t="s">
        <v>433</v>
      </c>
      <c r="C70" s="177" t="s">
        <v>341</v>
      </c>
      <c r="D70" s="158" t="s">
        <v>172</v>
      </c>
      <c r="E70" s="157" t="s">
        <v>173</v>
      </c>
      <c r="F70" s="188"/>
      <c r="G70" s="84"/>
      <c r="H70" s="84"/>
      <c r="I70" s="84"/>
      <c r="J70" s="84"/>
      <c r="K70" s="173"/>
      <c r="L70" s="85"/>
      <c r="M70" s="85"/>
      <c r="N70" s="88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6"/>
      <c r="Z70" s="85" t="s">
        <v>23</v>
      </c>
      <c r="AA70" s="85"/>
      <c r="AB70" s="85"/>
      <c r="AC70" s="85"/>
    </row>
    <row r="71" spans="1:29" x14ac:dyDescent="0.25">
      <c r="A71" s="186" t="s">
        <v>434</v>
      </c>
      <c r="B71" s="187" t="s">
        <v>435</v>
      </c>
      <c r="C71" s="177" t="s">
        <v>341</v>
      </c>
      <c r="D71" s="158" t="s">
        <v>172</v>
      </c>
      <c r="E71" s="157" t="s">
        <v>173</v>
      </c>
      <c r="F71" s="188"/>
      <c r="G71" s="84"/>
      <c r="H71" s="84"/>
      <c r="I71" s="84"/>
      <c r="J71" s="84"/>
      <c r="K71" s="173"/>
      <c r="L71" s="85"/>
      <c r="M71" s="85"/>
      <c r="N71" s="88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6"/>
      <c r="Z71" s="85"/>
      <c r="AA71" s="85" t="s">
        <v>23</v>
      </c>
      <c r="AB71" s="85"/>
      <c r="AC71" s="85"/>
    </row>
    <row r="72" spans="1:29" ht="15.75" thickBot="1" x14ac:dyDescent="0.3">
      <c r="A72" s="186" t="s">
        <v>430</v>
      </c>
      <c r="B72" s="187" t="s">
        <v>430</v>
      </c>
      <c r="C72" s="177" t="s">
        <v>341</v>
      </c>
      <c r="D72" s="158" t="s">
        <v>172</v>
      </c>
      <c r="E72" s="157" t="s">
        <v>173</v>
      </c>
      <c r="F72" s="188"/>
      <c r="G72" s="97" t="s">
        <v>59</v>
      </c>
      <c r="H72" s="84"/>
      <c r="I72" s="84"/>
      <c r="J72" s="84"/>
      <c r="K72" s="173"/>
      <c r="L72" s="85"/>
      <c r="M72" s="85"/>
      <c r="N72" s="88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6" t="s">
        <v>23</v>
      </c>
      <c r="Z72" s="85"/>
      <c r="AA72" s="85"/>
      <c r="AB72" s="85"/>
      <c r="AC72" s="85"/>
    </row>
    <row r="73" spans="1:29" ht="15.75" thickBot="1" x14ac:dyDescent="0.3">
      <c r="A73" s="153" t="s">
        <v>266</v>
      </c>
      <c r="B73" s="99" t="s">
        <v>266</v>
      </c>
      <c r="C73" s="177" t="s">
        <v>341</v>
      </c>
      <c r="D73" s="168" t="s">
        <v>172</v>
      </c>
      <c r="E73" s="167" t="s">
        <v>173</v>
      </c>
      <c r="F73" s="170"/>
      <c r="G73" s="104" t="s">
        <v>39</v>
      </c>
      <c r="H73" s="105"/>
      <c r="I73" s="105"/>
      <c r="J73" s="105"/>
      <c r="K73" s="176"/>
      <c r="L73" s="172"/>
      <c r="M73" s="87"/>
      <c r="N73" s="87"/>
      <c r="O73" s="87"/>
      <c r="P73" s="87"/>
      <c r="Q73" s="87"/>
      <c r="R73" s="87"/>
      <c r="S73" s="87"/>
      <c r="T73" s="87" t="s">
        <v>23</v>
      </c>
      <c r="U73" s="87"/>
      <c r="V73" s="87"/>
      <c r="W73" s="87"/>
      <c r="X73" s="87"/>
      <c r="Y73" s="183"/>
      <c r="Z73" s="87"/>
      <c r="AA73" s="87"/>
      <c r="AB73" s="87"/>
      <c r="AC73" s="87"/>
    </row>
    <row r="74" spans="1:29" x14ac:dyDescent="0.25">
      <c r="A74" s="102"/>
      <c r="B74" s="103"/>
      <c r="C74" s="103"/>
      <c r="D74" s="103"/>
      <c r="E74" s="103"/>
      <c r="F74" s="103"/>
      <c r="G74" s="102"/>
      <c r="H74" s="102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184"/>
      <c r="Z74" s="5"/>
      <c r="AA74" s="5"/>
      <c r="AB74" s="5"/>
      <c r="AC74" s="5"/>
    </row>
  </sheetData>
  <phoneticPr fontId="8" type="noConversion"/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C24A2-DE43-4B67-831E-A998DC8132E3}">
  <dimension ref="A1:O8"/>
  <sheetViews>
    <sheetView topLeftCell="C1" workbookViewId="0">
      <selection activeCell="D9" sqref="D9"/>
    </sheetView>
  </sheetViews>
  <sheetFormatPr baseColWidth="10" defaultRowHeight="15" x14ac:dyDescent="0.25"/>
  <cols>
    <col min="1" max="1" width="7.28515625" bestFit="1" customWidth="1"/>
    <col min="2" max="2" width="13.28515625" bestFit="1" customWidth="1"/>
    <col min="3" max="3" width="16.140625" bestFit="1" customWidth="1"/>
    <col min="4" max="4" width="21.42578125" bestFit="1" customWidth="1"/>
    <col min="5" max="5" width="13.5703125" bestFit="1" customWidth="1"/>
    <col min="6" max="6" width="14" bestFit="1" customWidth="1"/>
    <col min="7" max="7" width="14.5703125" bestFit="1" customWidth="1"/>
    <col min="8" max="8" width="20.7109375" bestFit="1" customWidth="1"/>
    <col min="9" max="9" width="18.140625" bestFit="1" customWidth="1"/>
    <col min="10" max="10" width="17.42578125" bestFit="1" customWidth="1"/>
    <col min="11" max="11" width="25.28515625" bestFit="1" customWidth="1"/>
    <col min="12" max="12" width="11.140625" bestFit="1" customWidth="1"/>
    <col min="13" max="13" width="29.42578125" bestFit="1" customWidth="1"/>
    <col min="14" max="14" width="34.28515625" bestFit="1" customWidth="1"/>
    <col min="15" max="15" width="28.28515625" bestFit="1" customWidth="1"/>
  </cols>
  <sheetData>
    <row r="1" spans="1:15" s="79" customFormat="1" x14ac:dyDescent="0.25">
      <c r="A1" s="79" t="s">
        <v>10</v>
      </c>
      <c r="B1" s="79" t="s">
        <v>12</v>
      </c>
      <c r="C1" s="79" t="s">
        <v>18</v>
      </c>
      <c r="D1" s="79" t="s">
        <v>144</v>
      </c>
      <c r="E1" s="79" t="s">
        <v>24</v>
      </c>
      <c r="F1" s="79" t="s">
        <v>65</v>
      </c>
      <c r="G1" s="79" t="s">
        <v>34</v>
      </c>
      <c r="H1" s="79" t="s">
        <v>145</v>
      </c>
      <c r="I1" s="79" t="s">
        <v>146</v>
      </c>
      <c r="J1" s="79" t="s">
        <v>40</v>
      </c>
      <c r="K1" s="79" t="s">
        <v>147</v>
      </c>
      <c r="L1" s="79" t="s">
        <v>45</v>
      </c>
      <c r="M1" s="79" t="s">
        <v>148</v>
      </c>
      <c r="N1" s="79" t="s">
        <v>149</v>
      </c>
      <c r="O1" s="79" t="s">
        <v>150</v>
      </c>
    </row>
    <row r="2" spans="1:15" s="80" customFormat="1" ht="30" x14ac:dyDescent="0.25">
      <c r="A2" s="80" t="s">
        <v>10</v>
      </c>
      <c r="B2" s="80" t="s">
        <v>12</v>
      </c>
      <c r="C2" s="81" t="s">
        <v>18</v>
      </c>
      <c r="D2" s="81" t="s">
        <v>241</v>
      </c>
      <c r="E2" s="81" t="s">
        <v>24</v>
      </c>
      <c r="F2" s="81" t="s">
        <v>242</v>
      </c>
      <c r="G2" s="81" t="s">
        <v>34</v>
      </c>
      <c r="H2" s="81" t="s">
        <v>244</v>
      </c>
      <c r="I2" s="81" t="s">
        <v>243</v>
      </c>
      <c r="J2" s="81" t="s">
        <v>40</v>
      </c>
      <c r="K2" s="81" t="s">
        <v>245</v>
      </c>
      <c r="L2" s="81" t="s">
        <v>45</v>
      </c>
      <c r="M2" s="81" t="s">
        <v>246</v>
      </c>
      <c r="N2" s="81" t="s">
        <v>247</v>
      </c>
      <c r="O2" s="81" t="s">
        <v>248</v>
      </c>
    </row>
    <row r="8" spans="1:15" x14ac:dyDescent="0.25">
      <c r="H8" s="80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89A9-3F4C-47F6-B490-B9622B49F1F5}">
  <dimension ref="A1:R2"/>
  <sheetViews>
    <sheetView workbookViewId="0">
      <selection activeCell="I37" sqref="I37"/>
    </sheetView>
  </sheetViews>
  <sheetFormatPr baseColWidth="10" defaultRowHeight="15" x14ac:dyDescent="0.25"/>
  <sheetData>
    <row r="1" spans="1:18" x14ac:dyDescent="0.25">
      <c r="A1" t="s">
        <v>153</v>
      </c>
      <c r="B1" t="s">
        <v>154</v>
      </c>
      <c r="C1" t="s">
        <v>155</v>
      </c>
      <c r="D1" t="s">
        <v>162</v>
      </c>
      <c r="E1" t="s">
        <v>170</v>
      </c>
      <c r="F1" t="s">
        <v>171</v>
      </c>
      <c r="G1" t="s">
        <v>158</v>
      </c>
      <c r="H1" t="s">
        <v>159</v>
      </c>
      <c r="I1" t="s">
        <v>175</v>
      </c>
      <c r="J1" t="s">
        <v>174</v>
      </c>
      <c r="K1" t="s">
        <v>179</v>
      </c>
      <c r="L1" t="s">
        <v>178</v>
      </c>
      <c r="M1" t="s">
        <v>176</v>
      </c>
      <c r="N1" t="s">
        <v>177</v>
      </c>
      <c r="O1" t="s">
        <v>185</v>
      </c>
      <c r="P1" t="s">
        <v>186</v>
      </c>
      <c r="Q1" t="s">
        <v>189</v>
      </c>
      <c r="R1" t="s">
        <v>190</v>
      </c>
    </row>
    <row r="2" spans="1:18" x14ac:dyDescent="0.25">
      <c r="A2" t="s">
        <v>153</v>
      </c>
      <c r="B2" t="s">
        <v>154</v>
      </c>
      <c r="C2" t="s">
        <v>172</v>
      </c>
      <c r="D2" t="s">
        <v>173</v>
      </c>
      <c r="E2" t="s">
        <v>182</v>
      </c>
      <c r="F2" t="s">
        <v>181</v>
      </c>
      <c r="G2" t="s">
        <v>180</v>
      </c>
      <c r="H2" t="s">
        <v>159</v>
      </c>
      <c r="I2" t="s">
        <v>164</v>
      </c>
      <c r="J2" t="s">
        <v>163</v>
      </c>
      <c r="K2" t="s">
        <v>165</v>
      </c>
      <c r="L2" t="s">
        <v>166</v>
      </c>
      <c r="M2" t="s">
        <v>168</v>
      </c>
      <c r="N2" t="s">
        <v>169</v>
      </c>
      <c r="O2" t="s">
        <v>187</v>
      </c>
      <c r="P2" t="s">
        <v>188</v>
      </c>
      <c r="Q2" t="s">
        <v>192</v>
      </c>
      <c r="R2" t="s">
        <v>191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5E0A8-BBCA-44E1-9A68-DB05AA80780D}">
  <dimension ref="A1:J35"/>
  <sheetViews>
    <sheetView zoomScaleNormal="100" workbookViewId="0">
      <selection activeCell="D9" sqref="D9"/>
    </sheetView>
  </sheetViews>
  <sheetFormatPr baseColWidth="10" defaultRowHeight="15" x14ac:dyDescent="0.25"/>
  <cols>
    <col min="1" max="1" width="39.42578125" bestFit="1" customWidth="1"/>
    <col min="2" max="2" width="13.28515625" bestFit="1" customWidth="1"/>
    <col min="3" max="3" width="20.7109375" customWidth="1"/>
    <col min="4" max="4" width="22" customWidth="1"/>
    <col min="5" max="5" width="25.140625" bestFit="1" customWidth="1"/>
    <col min="6" max="6" width="35.7109375" customWidth="1"/>
    <col min="7" max="7" width="30.5703125" bestFit="1" customWidth="1"/>
    <col min="8" max="8" width="14.42578125" bestFit="1" customWidth="1"/>
    <col min="9" max="9" width="19.28515625" bestFit="1" customWidth="1"/>
  </cols>
  <sheetData>
    <row r="1" spans="1:10" ht="23.25" x14ac:dyDescent="0.35">
      <c r="A1" s="34" t="s">
        <v>93</v>
      </c>
      <c r="B1" s="5"/>
      <c r="C1" s="5"/>
      <c r="D1" s="5"/>
      <c r="E1" s="5"/>
    </row>
    <row r="2" spans="1:10" ht="31.5" x14ac:dyDescent="0.25">
      <c r="A2" s="36" t="s">
        <v>94</v>
      </c>
      <c r="B2" s="38" t="s">
        <v>96</v>
      </c>
      <c r="C2" s="38" t="s">
        <v>128</v>
      </c>
      <c r="D2" s="36" t="s">
        <v>95</v>
      </c>
      <c r="E2" s="36" t="s">
        <v>239</v>
      </c>
      <c r="F2" s="39" t="s">
        <v>9</v>
      </c>
      <c r="G2" s="39" t="s">
        <v>183</v>
      </c>
      <c r="H2" s="38" t="s">
        <v>132</v>
      </c>
      <c r="I2" s="38" t="s">
        <v>131</v>
      </c>
      <c r="J2" s="39" t="s">
        <v>238</v>
      </c>
    </row>
    <row r="3" spans="1:10" ht="30" x14ac:dyDescent="0.25">
      <c r="A3" s="32" t="s">
        <v>4</v>
      </c>
      <c r="B3" s="45" t="s">
        <v>97</v>
      </c>
      <c r="C3" s="44" t="s">
        <v>129</v>
      </c>
      <c r="D3" s="44" t="s">
        <v>135</v>
      </c>
      <c r="E3" s="44"/>
      <c r="F3" s="35"/>
      <c r="G3" s="35"/>
      <c r="H3" s="46"/>
      <c r="I3" s="46" t="s">
        <v>134</v>
      </c>
      <c r="J3" s="76" t="s">
        <v>195</v>
      </c>
    </row>
    <row r="4" spans="1:10" ht="60" x14ac:dyDescent="0.25">
      <c r="A4" s="57" t="s">
        <v>14</v>
      </c>
      <c r="B4" s="45" t="s">
        <v>98</v>
      </c>
      <c r="C4" s="44" t="s">
        <v>130</v>
      </c>
      <c r="D4" s="44"/>
      <c r="E4" s="44"/>
      <c r="F4" s="37" t="s">
        <v>99</v>
      </c>
      <c r="G4" s="35" t="s">
        <v>184</v>
      </c>
      <c r="H4" s="46"/>
      <c r="I4" s="46"/>
      <c r="J4" s="76" t="s">
        <v>195</v>
      </c>
    </row>
    <row r="5" spans="1:10" ht="30" x14ac:dyDescent="0.25">
      <c r="A5" s="32" t="s">
        <v>15</v>
      </c>
      <c r="B5" s="45" t="s">
        <v>98</v>
      </c>
      <c r="C5" s="44" t="s">
        <v>49</v>
      </c>
      <c r="D5" s="44" t="s">
        <v>17</v>
      </c>
      <c r="E5" s="44"/>
      <c r="F5" s="35"/>
      <c r="G5" s="35" t="s">
        <v>240</v>
      </c>
      <c r="H5" s="46"/>
      <c r="I5" s="46" t="s">
        <v>134</v>
      </c>
      <c r="J5" s="76" t="s">
        <v>195</v>
      </c>
    </row>
    <row r="6" spans="1:10" x14ac:dyDescent="0.25">
      <c r="A6" s="33" t="s">
        <v>16</v>
      </c>
      <c r="B6" s="45" t="s">
        <v>97</v>
      </c>
      <c r="C6" s="44"/>
      <c r="D6" s="44" t="s">
        <v>136</v>
      </c>
      <c r="E6" s="44"/>
      <c r="F6" s="35"/>
      <c r="G6" s="35"/>
      <c r="H6" s="46"/>
      <c r="I6" s="46" t="s">
        <v>134</v>
      </c>
      <c r="J6" s="76" t="s">
        <v>195</v>
      </c>
    </row>
    <row r="7" spans="1:10" x14ac:dyDescent="0.25">
      <c r="A7" s="33" t="s">
        <v>19</v>
      </c>
      <c r="B7" s="45" t="s">
        <v>97</v>
      </c>
      <c r="C7" s="44"/>
      <c r="D7" s="44" t="s">
        <v>137</v>
      </c>
      <c r="E7" s="44"/>
      <c r="F7" s="35"/>
      <c r="G7" s="35"/>
      <c r="H7" s="46"/>
      <c r="I7" s="46" t="s">
        <v>134</v>
      </c>
      <c r="J7" s="76" t="s">
        <v>195</v>
      </c>
    </row>
    <row r="8" spans="1:10" x14ac:dyDescent="0.25">
      <c r="A8" s="32" t="s">
        <v>20</v>
      </c>
      <c r="B8" s="45" t="s">
        <v>97</v>
      </c>
      <c r="C8" s="44"/>
      <c r="D8" s="44"/>
      <c r="E8" s="44"/>
      <c r="F8" s="35" t="s">
        <v>100</v>
      </c>
      <c r="G8" s="35"/>
      <c r="H8" s="46"/>
      <c r="I8" s="46"/>
      <c r="J8" s="76" t="s">
        <v>195</v>
      </c>
    </row>
    <row r="9" spans="1:10" x14ac:dyDescent="0.25">
      <c r="A9" s="32" t="s">
        <v>21</v>
      </c>
      <c r="B9" s="45" t="s">
        <v>98</v>
      </c>
      <c r="C9" s="44" t="s">
        <v>49</v>
      </c>
      <c r="D9" s="44"/>
      <c r="E9" s="44"/>
      <c r="F9" s="35"/>
      <c r="G9" s="35" t="s">
        <v>141</v>
      </c>
      <c r="H9" s="46"/>
      <c r="I9" s="46"/>
      <c r="J9" s="76" t="s">
        <v>195</v>
      </c>
    </row>
    <row r="10" spans="1:10" x14ac:dyDescent="0.25">
      <c r="A10" s="32" t="s">
        <v>22</v>
      </c>
      <c r="B10" s="45" t="s">
        <v>98</v>
      </c>
      <c r="C10" s="44" t="s">
        <v>49</v>
      </c>
      <c r="D10" s="44" t="s">
        <v>142</v>
      </c>
      <c r="E10" s="44"/>
      <c r="F10" s="35"/>
      <c r="G10" s="35"/>
      <c r="H10" s="46"/>
      <c r="I10" s="46" t="s">
        <v>134</v>
      </c>
      <c r="J10" s="76" t="s">
        <v>195</v>
      </c>
    </row>
    <row r="11" spans="1:10" ht="30" x14ac:dyDescent="0.25">
      <c r="A11" s="33" t="s">
        <v>26</v>
      </c>
      <c r="B11" s="45" t="s">
        <v>97</v>
      </c>
      <c r="C11" s="44" t="s">
        <v>129</v>
      </c>
      <c r="D11" s="44" t="s">
        <v>138</v>
      </c>
      <c r="E11" s="44"/>
      <c r="F11" s="35"/>
      <c r="G11" s="35"/>
      <c r="H11" s="46"/>
      <c r="I11" s="46" t="s">
        <v>134</v>
      </c>
      <c r="J11" s="76" t="s">
        <v>195</v>
      </c>
    </row>
    <row r="12" spans="1:10" x14ac:dyDescent="0.25">
      <c r="A12" s="32" t="s">
        <v>35</v>
      </c>
      <c r="B12" s="45" t="s">
        <v>98</v>
      </c>
      <c r="C12" s="44" t="s">
        <v>49</v>
      </c>
      <c r="D12" s="44"/>
      <c r="E12" s="44"/>
      <c r="F12" s="35"/>
      <c r="G12" s="35" t="s">
        <v>143</v>
      </c>
      <c r="H12" s="46"/>
      <c r="I12" s="46" t="s">
        <v>134</v>
      </c>
      <c r="J12" s="76" t="s">
        <v>195</v>
      </c>
    </row>
    <row r="13" spans="1:10" ht="30" x14ac:dyDescent="0.25">
      <c r="A13" s="32" t="s">
        <v>37</v>
      </c>
      <c r="B13" s="45" t="s">
        <v>97</v>
      </c>
      <c r="C13" s="44" t="s">
        <v>129</v>
      </c>
      <c r="D13" s="44"/>
      <c r="E13" s="44"/>
      <c r="F13" s="35" t="s">
        <v>101</v>
      </c>
      <c r="G13" s="35" t="s">
        <v>213</v>
      </c>
      <c r="H13" s="46"/>
      <c r="I13" s="46" t="s">
        <v>134</v>
      </c>
      <c r="J13" s="76" t="s">
        <v>195</v>
      </c>
    </row>
    <row r="14" spans="1:10" ht="30" x14ac:dyDescent="0.25">
      <c r="A14" s="32" t="s">
        <v>39</v>
      </c>
      <c r="B14" s="45" t="s">
        <v>98</v>
      </c>
      <c r="C14" s="44" t="s">
        <v>49</v>
      </c>
      <c r="D14" s="44"/>
      <c r="E14" s="44"/>
      <c r="F14" s="35"/>
      <c r="G14" s="35" t="s">
        <v>215</v>
      </c>
      <c r="H14" s="46"/>
      <c r="I14" s="46" t="s">
        <v>134</v>
      </c>
      <c r="J14" s="76" t="s">
        <v>195</v>
      </c>
    </row>
    <row r="15" spans="1:10" x14ac:dyDescent="0.25">
      <c r="A15" s="32" t="s">
        <v>41</v>
      </c>
      <c r="B15" s="45" t="s">
        <v>97</v>
      </c>
      <c r="C15" s="44"/>
      <c r="D15" s="44"/>
      <c r="E15" s="44"/>
      <c r="F15" s="35"/>
      <c r="G15" s="35"/>
      <c r="H15" s="46"/>
      <c r="I15" s="46"/>
      <c r="J15" s="76" t="s">
        <v>195</v>
      </c>
    </row>
    <row r="16" spans="1:10" ht="30" x14ac:dyDescent="0.25">
      <c r="A16" s="33" t="s">
        <v>52</v>
      </c>
      <c r="B16" s="45" t="s">
        <v>98</v>
      </c>
      <c r="C16" s="44" t="s">
        <v>129</v>
      </c>
      <c r="D16" s="44" t="s">
        <v>139</v>
      </c>
      <c r="E16" s="44"/>
      <c r="F16" s="35"/>
      <c r="G16" s="35"/>
      <c r="H16" s="46"/>
      <c r="I16" s="46" t="s">
        <v>134</v>
      </c>
      <c r="J16" s="76" t="s">
        <v>195</v>
      </c>
    </row>
    <row r="17" spans="1:10" x14ac:dyDescent="0.25">
      <c r="A17" s="33" t="s">
        <v>79</v>
      </c>
      <c r="B17" s="45" t="s">
        <v>98</v>
      </c>
      <c r="C17" s="44"/>
      <c r="D17" s="44"/>
      <c r="E17" s="44"/>
      <c r="F17" s="35"/>
      <c r="G17" s="35"/>
      <c r="H17" s="46"/>
      <c r="I17" s="46"/>
      <c r="J17" s="76" t="s">
        <v>195</v>
      </c>
    </row>
    <row r="18" spans="1:10" x14ac:dyDescent="0.25">
      <c r="A18" s="33" t="s">
        <v>80</v>
      </c>
      <c r="B18" s="45" t="s">
        <v>98</v>
      </c>
      <c r="C18" s="44"/>
      <c r="D18" s="44"/>
      <c r="E18" s="44"/>
      <c r="F18" s="35"/>
      <c r="G18" s="35"/>
      <c r="H18" s="46"/>
      <c r="I18" s="46"/>
      <c r="J18" s="76" t="s">
        <v>195</v>
      </c>
    </row>
    <row r="19" spans="1:10" ht="30" x14ac:dyDescent="0.25">
      <c r="A19" s="33" t="s">
        <v>84</v>
      </c>
      <c r="B19" s="45" t="s">
        <v>97</v>
      </c>
      <c r="C19" s="44" t="s">
        <v>129</v>
      </c>
      <c r="D19" s="44" t="s">
        <v>140</v>
      </c>
      <c r="E19" s="44"/>
      <c r="F19" s="35"/>
      <c r="G19" s="35"/>
      <c r="H19" s="46"/>
      <c r="I19" s="46" t="s">
        <v>134</v>
      </c>
      <c r="J19" s="76" t="s">
        <v>195</v>
      </c>
    </row>
    <row r="20" spans="1:10" x14ac:dyDescent="0.25">
      <c r="A20" s="73"/>
      <c r="B20" s="74"/>
      <c r="C20" s="75"/>
      <c r="D20" s="75"/>
      <c r="E20" s="75"/>
      <c r="F20" s="35"/>
      <c r="G20" s="35"/>
      <c r="H20" s="46"/>
      <c r="I20" s="46"/>
      <c r="J20" s="76"/>
    </row>
    <row r="21" spans="1:10" x14ac:dyDescent="0.25">
      <c r="A21" s="73"/>
      <c r="B21" s="74"/>
      <c r="C21" s="75"/>
      <c r="D21" s="75"/>
      <c r="E21" s="75"/>
      <c r="F21" s="35"/>
      <c r="G21" s="35"/>
      <c r="H21" s="46"/>
      <c r="I21" s="46"/>
      <c r="J21" s="76"/>
    </row>
    <row r="22" spans="1:10" ht="30" x14ac:dyDescent="0.25">
      <c r="A22" s="73" t="s">
        <v>224</v>
      </c>
      <c r="B22" s="74" t="s">
        <v>97</v>
      </c>
      <c r="C22" s="75" t="s">
        <v>129</v>
      </c>
      <c r="D22" s="75"/>
      <c r="E22" s="75"/>
      <c r="F22" s="35"/>
      <c r="G22" s="35"/>
      <c r="H22" s="46"/>
      <c r="I22" s="46"/>
      <c r="J22" s="76" t="s">
        <v>195</v>
      </c>
    </row>
    <row r="23" spans="1:10" ht="30" x14ac:dyDescent="0.25">
      <c r="A23" s="73" t="s">
        <v>227</v>
      </c>
      <c r="B23" s="74" t="s">
        <v>97</v>
      </c>
      <c r="C23" s="75" t="s">
        <v>129</v>
      </c>
      <c r="D23" s="75"/>
      <c r="E23" s="75"/>
      <c r="F23" s="35"/>
      <c r="G23" s="35"/>
      <c r="H23" s="46"/>
      <c r="I23" s="46"/>
      <c r="J23" s="76" t="s">
        <v>195</v>
      </c>
    </row>
    <row r="24" spans="1:10" ht="30" x14ac:dyDescent="0.25">
      <c r="A24" s="73" t="s">
        <v>225</v>
      </c>
      <c r="B24" s="74" t="s">
        <v>97</v>
      </c>
      <c r="C24" s="75" t="s">
        <v>129</v>
      </c>
      <c r="D24" s="75"/>
      <c r="E24" s="75"/>
      <c r="F24" s="35"/>
      <c r="G24" s="35"/>
      <c r="H24" s="46"/>
      <c r="I24" s="46"/>
      <c r="J24" s="76" t="s">
        <v>195</v>
      </c>
    </row>
    <row r="25" spans="1:10" ht="30" x14ac:dyDescent="0.25">
      <c r="A25" s="73" t="s">
        <v>226</v>
      </c>
      <c r="B25" s="74" t="s">
        <v>97</v>
      </c>
      <c r="C25" s="75" t="s">
        <v>129</v>
      </c>
      <c r="D25" s="75"/>
      <c r="E25" s="75"/>
      <c r="F25" s="35"/>
      <c r="G25" s="35"/>
      <c r="H25" s="46"/>
      <c r="I25" s="46"/>
      <c r="J25" s="76" t="s">
        <v>195</v>
      </c>
    </row>
    <row r="26" spans="1:10" ht="30" x14ac:dyDescent="0.25">
      <c r="A26" s="73" t="s">
        <v>228</v>
      </c>
      <c r="B26" s="74" t="s">
        <v>97</v>
      </c>
      <c r="C26" s="75" t="s">
        <v>129</v>
      </c>
      <c r="D26" s="75"/>
      <c r="E26" s="75"/>
      <c r="F26" s="35"/>
      <c r="G26" s="35"/>
      <c r="H26" s="46"/>
      <c r="I26" s="46"/>
      <c r="J26" s="76" t="s">
        <v>195</v>
      </c>
    </row>
    <row r="27" spans="1:10" ht="30" x14ac:dyDescent="0.25">
      <c r="A27" s="73" t="s">
        <v>229</v>
      </c>
      <c r="B27" s="74" t="s">
        <v>97</v>
      </c>
      <c r="C27" s="75" t="s">
        <v>129</v>
      </c>
      <c r="D27" s="75"/>
      <c r="E27" s="75"/>
      <c r="F27" s="35"/>
      <c r="G27" s="35"/>
      <c r="H27" s="46"/>
      <c r="I27" s="46"/>
      <c r="J27" s="76" t="s">
        <v>195</v>
      </c>
    </row>
    <row r="28" spans="1:10" ht="30" x14ac:dyDescent="0.25">
      <c r="A28" s="73" t="s">
        <v>230</v>
      </c>
      <c r="B28" s="74" t="s">
        <v>97</v>
      </c>
      <c r="C28" s="75" t="s">
        <v>129</v>
      </c>
      <c r="D28" s="75"/>
      <c r="E28" s="75"/>
      <c r="F28" s="35"/>
      <c r="G28" s="35"/>
      <c r="H28" s="46"/>
      <c r="I28" s="46"/>
      <c r="J28" s="76" t="s">
        <v>195</v>
      </c>
    </row>
    <row r="29" spans="1:10" ht="30" x14ac:dyDescent="0.25">
      <c r="A29" s="73" t="s">
        <v>231</v>
      </c>
      <c r="B29" s="74" t="s">
        <v>97</v>
      </c>
      <c r="C29" s="75" t="s">
        <v>129</v>
      </c>
      <c r="D29" s="75"/>
      <c r="E29" s="75"/>
      <c r="F29" s="35"/>
      <c r="G29" s="35"/>
      <c r="H29" s="46"/>
      <c r="I29" s="46"/>
      <c r="J29" s="76" t="s">
        <v>195</v>
      </c>
    </row>
    <row r="30" spans="1:10" ht="30" x14ac:dyDescent="0.25">
      <c r="A30" s="73" t="s">
        <v>232</v>
      </c>
      <c r="B30" s="74" t="s">
        <v>97</v>
      </c>
      <c r="C30" s="75" t="s">
        <v>129</v>
      </c>
      <c r="D30" s="75"/>
      <c r="E30" s="75"/>
      <c r="F30" s="35"/>
      <c r="G30" s="35"/>
      <c r="H30" s="46"/>
      <c r="I30" s="46"/>
      <c r="J30" s="76" t="s">
        <v>195</v>
      </c>
    </row>
    <row r="31" spans="1:10" ht="30" x14ac:dyDescent="0.25">
      <c r="A31" s="73" t="s">
        <v>233</v>
      </c>
      <c r="B31" s="74" t="s">
        <v>97</v>
      </c>
      <c r="C31" s="75" t="s">
        <v>129</v>
      </c>
      <c r="D31" s="75"/>
      <c r="E31" s="75"/>
      <c r="F31" s="35"/>
      <c r="G31" s="35"/>
      <c r="H31" s="46"/>
      <c r="I31" s="46"/>
      <c r="J31" s="76" t="s">
        <v>195</v>
      </c>
    </row>
    <row r="32" spans="1:10" ht="30" x14ac:dyDescent="0.25">
      <c r="A32" s="73" t="s">
        <v>234</v>
      </c>
      <c r="B32" s="74" t="s">
        <v>97</v>
      </c>
      <c r="C32" s="75" t="s">
        <v>129</v>
      </c>
      <c r="D32" s="75"/>
      <c r="E32" s="75"/>
      <c r="F32" s="35"/>
      <c r="G32" s="35"/>
      <c r="H32" s="46"/>
      <c r="I32" s="46"/>
      <c r="J32" s="76" t="s">
        <v>195</v>
      </c>
    </row>
    <row r="33" spans="1:10" ht="30" x14ac:dyDescent="0.25">
      <c r="A33" s="73" t="s">
        <v>235</v>
      </c>
      <c r="B33" s="74" t="s">
        <v>97</v>
      </c>
      <c r="C33" s="75" t="s">
        <v>129</v>
      </c>
      <c r="D33" s="75"/>
      <c r="E33" s="75"/>
      <c r="F33" s="35"/>
      <c r="G33" s="35"/>
      <c r="H33" s="46"/>
      <c r="I33" s="46"/>
      <c r="J33" s="76" t="s">
        <v>195</v>
      </c>
    </row>
    <row r="34" spans="1:10" ht="30" x14ac:dyDescent="0.25">
      <c r="A34" s="73" t="s">
        <v>236</v>
      </c>
      <c r="B34" s="74" t="s">
        <v>97</v>
      </c>
      <c r="C34" s="75" t="s">
        <v>129</v>
      </c>
      <c r="D34" s="75"/>
      <c r="E34" s="75"/>
      <c r="F34" s="35"/>
      <c r="G34" s="35"/>
      <c r="H34" s="46"/>
      <c r="I34" s="46"/>
      <c r="J34" s="76" t="s">
        <v>195</v>
      </c>
    </row>
    <row r="35" spans="1:10" ht="30" x14ac:dyDescent="0.25">
      <c r="A35" s="73" t="s">
        <v>237</v>
      </c>
      <c r="B35" s="74" t="s">
        <v>97</v>
      </c>
      <c r="C35" s="75" t="s">
        <v>129</v>
      </c>
      <c r="D35" s="75"/>
      <c r="E35" s="75"/>
      <c r="F35" s="35"/>
      <c r="G35" s="35"/>
      <c r="H35" s="46"/>
      <c r="I35" s="46"/>
      <c r="J35" s="76" t="s">
        <v>195</v>
      </c>
    </row>
  </sheetData>
  <phoneticPr fontId="8" type="noConversion"/>
  <conditionalFormatting sqref="B3:B35">
    <cfRule type="containsText" dxfId="22" priority="3" operator="containsText" text="Ja">
      <formula>NOT(ISERROR(SEARCH("Ja",B3)))</formula>
    </cfRule>
    <cfRule type="containsText" dxfId="21" priority="4" operator="containsText" text="Nein">
      <formula>NOT(ISERROR(SEARCH("Nein",B3)))</formula>
    </cfRule>
  </conditionalFormatting>
  <conditionalFormatting sqref="J3:J35">
    <cfRule type="expression" dxfId="20" priority="1">
      <formula>COUNTIF($J3,"*abgeschlossen*")</formula>
    </cfRule>
    <cfRule type="expression" dxfId="19" priority="2">
      <formula>COUNTIF($J3,"*offen*")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0B7C7-232E-47A6-A765-2B7221542A27}">
  <dimension ref="A1:G27"/>
  <sheetViews>
    <sheetView workbookViewId="0">
      <selection activeCell="G35" sqref="G35"/>
    </sheetView>
  </sheetViews>
  <sheetFormatPr baseColWidth="10" defaultRowHeight="15" x14ac:dyDescent="0.25"/>
  <cols>
    <col min="1" max="1" width="43.7109375" customWidth="1"/>
    <col min="3" max="3" width="17.7109375" customWidth="1"/>
    <col min="4" max="4" width="24.42578125" style="40" bestFit="1" customWidth="1"/>
    <col min="5" max="5" width="35.42578125" style="35" bestFit="1" customWidth="1"/>
    <col min="6" max="6" width="12.42578125" bestFit="1" customWidth="1"/>
    <col min="7" max="7" width="19.28515625" bestFit="1" customWidth="1"/>
  </cols>
  <sheetData>
    <row r="1" spans="1:7" ht="23.25" x14ac:dyDescent="0.35">
      <c r="A1" s="41" t="s">
        <v>102</v>
      </c>
    </row>
    <row r="2" spans="1:7" ht="31.5" x14ac:dyDescent="0.25">
      <c r="A2" s="36" t="s">
        <v>94</v>
      </c>
      <c r="B2" s="36" t="s">
        <v>103</v>
      </c>
      <c r="C2" s="36" t="s">
        <v>104</v>
      </c>
      <c r="D2" s="36" t="s">
        <v>133</v>
      </c>
      <c r="E2" s="36" t="s">
        <v>9</v>
      </c>
      <c r="F2" s="38" t="s">
        <v>132</v>
      </c>
      <c r="G2" s="38" t="s">
        <v>131</v>
      </c>
    </row>
    <row r="3" spans="1:7" x14ac:dyDescent="0.25">
      <c r="A3" s="31" t="s">
        <v>2</v>
      </c>
      <c r="B3" s="44" t="s">
        <v>7</v>
      </c>
      <c r="C3" s="44" t="s">
        <v>106</v>
      </c>
      <c r="D3" s="42"/>
      <c r="E3" s="47"/>
      <c r="F3" s="46"/>
      <c r="G3" s="46" t="s">
        <v>134</v>
      </c>
    </row>
    <row r="4" spans="1:7" ht="30" x14ac:dyDescent="0.25">
      <c r="A4" s="32" t="s">
        <v>3</v>
      </c>
      <c r="B4" s="44" t="s">
        <v>7</v>
      </c>
      <c r="C4" s="44" t="s">
        <v>106</v>
      </c>
      <c r="D4" s="42"/>
      <c r="E4" s="47" t="s">
        <v>110</v>
      </c>
      <c r="F4" s="46"/>
      <c r="G4" s="46"/>
    </row>
    <row r="5" spans="1:7" ht="30" x14ac:dyDescent="0.25">
      <c r="A5" s="32" t="s">
        <v>5</v>
      </c>
      <c r="B5" s="44" t="s">
        <v>7</v>
      </c>
      <c r="C5" s="44" t="s">
        <v>105</v>
      </c>
      <c r="D5" s="42"/>
      <c r="E5" s="47" t="s">
        <v>109</v>
      </c>
      <c r="F5" s="46"/>
      <c r="G5" s="46" t="s">
        <v>134</v>
      </c>
    </row>
    <row r="6" spans="1:7" ht="30" x14ac:dyDescent="0.25">
      <c r="A6" s="32" t="s">
        <v>13</v>
      </c>
      <c r="B6" s="44" t="s">
        <v>108</v>
      </c>
      <c r="C6" s="44" t="s">
        <v>107</v>
      </c>
      <c r="D6" s="42"/>
      <c r="E6" s="47" t="s">
        <v>157</v>
      </c>
      <c r="F6" s="46"/>
      <c r="G6" s="46"/>
    </row>
    <row r="7" spans="1:7" ht="45" x14ac:dyDescent="0.25">
      <c r="A7" s="32" t="s">
        <v>20</v>
      </c>
      <c r="B7" s="44" t="s">
        <v>7</v>
      </c>
      <c r="C7" s="44"/>
      <c r="D7" s="42"/>
      <c r="E7" s="47" t="s">
        <v>111</v>
      </c>
      <c r="F7" s="46"/>
      <c r="G7" s="46"/>
    </row>
    <row r="8" spans="1:7" ht="30" x14ac:dyDescent="0.25">
      <c r="A8" s="32" t="s">
        <v>25</v>
      </c>
      <c r="B8" s="44" t="s">
        <v>7</v>
      </c>
      <c r="C8" s="44" t="s">
        <v>160</v>
      </c>
      <c r="D8" s="42"/>
      <c r="E8" s="47" t="s">
        <v>112</v>
      </c>
      <c r="F8" s="46"/>
      <c r="G8" s="46"/>
    </row>
    <row r="9" spans="1:7" ht="45" x14ac:dyDescent="0.25">
      <c r="A9" s="33" t="s">
        <v>27</v>
      </c>
      <c r="B9" s="44" t="s">
        <v>113</v>
      </c>
      <c r="C9" s="44" t="s">
        <v>114</v>
      </c>
      <c r="D9" s="42"/>
      <c r="E9" s="47" t="s">
        <v>115</v>
      </c>
      <c r="F9" s="46"/>
      <c r="G9" s="46"/>
    </row>
    <row r="10" spans="1:7" x14ac:dyDescent="0.25">
      <c r="A10" s="32" t="s">
        <v>28</v>
      </c>
      <c r="B10" s="44" t="s">
        <v>7</v>
      </c>
      <c r="C10" s="44" t="s">
        <v>161</v>
      </c>
      <c r="D10" s="42"/>
      <c r="E10" s="47"/>
      <c r="F10" s="46"/>
      <c r="G10" s="46" t="s">
        <v>134</v>
      </c>
    </row>
    <row r="11" spans="1:7" ht="45" x14ac:dyDescent="0.25">
      <c r="A11" s="32" t="s">
        <v>29</v>
      </c>
      <c r="B11" s="44" t="s">
        <v>7</v>
      </c>
      <c r="C11" s="44"/>
      <c r="D11" s="42"/>
      <c r="E11" s="47" t="s">
        <v>116</v>
      </c>
      <c r="F11" s="46"/>
      <c r="G11" s="46"/>
    </row>
    <row r="12" spans="1:7" x14ac:dyDescent="0.25">
      <c r="A12" s="32" t="s">
        <v>30</v>
      </c>
      <c r="B12" s="44" t="s">
        <v>7</v>
      </c>
      <c r="C12" s="44"/>
      <c r="D12" s="42"/>
      <c r="E12" s="47" t="s">
        <v>31</v>
      </c>
      <c r="F12" s="46"/>
      <c r="G12" s="46"/>
    </row>
    <row r="13" spans="1:7" x14ac:dyDescent="0.25">
      <c r="A13" s="32" t="s">
        <v>32</v>
      </c>
      <c r="B13" s="44" t="s">
        <v>7</v>
      </c>
      <c r="C13" s="44" t="s">
        <v>50</v>
      </c>
      <c r="D13" s="42"/>
      <c r="E13" s="47"/>
      <c r="F13" s="46"/>
      <c r="G13" s="46"/>
    </row>
    <row r="14" spans="1:7" x14ac:dyDescent="0.25">
      <c r="A14" s="32" t="s">
        <v>33</v>
      </c>
      <c r="B14" s="44" t="s">
        <v>7</v>
      </c>
      <c r="C14" s="44" t="s">
        <v>50</v>
      </c>
      <c r="D14" s="42"/>
      <c r="E14" s="47" t="s">
        <v>31</v>
      </c>
      <c r="F14" s="46"/>
      <c r="G14" s="46"/>
    </row>
    <row r="15" spans="1:7" ht="30" x14ac:dyDescent="0.25">
      <c r="A15" s="32" t="s">
        <v>38</v>
      </c>
      <c r="B15" s="44" t="s">
        <v>7</v>
      </c>
      <c r="C15" s="44" t="s">
        <v>117</v>
      </c>
      <c r="D15" s="42"/>
      <c r="E15" s="47" t="s">
        <v>118</v>
      </c>
      <c r="F15" s="46"/>
      <c r="G15" s="46"/>
    </row>
    <row r="16" spans="1:7" ht="45" x14ac:dyDescent="0.25">
      <c r="A16" s="32" t="s">
        <v>36</v>
      </c>
      <c r="B16" s="44" t="s">
        <v>8</v>
      </c>
      <c r="C16" s="44" t="s">
        <v>119</v>
      </c>
      <c r="D16" s="42"/>
      <c r="E16" s="47" t="s">
        <v>120</v>
      </c>
      <c r="F16" s="46"/>
      <c r="G16" s="46"/>
    </row>
    <row r="17" spans="1:7" x14ac:dyDescent="0.25">
      <c r="A17" s="32" t="s">
        <v>42</v>
      </c>
      <c r="B17" s="44" t="s">
        <v>7</v>
      </c>
      <c r="C17" s="44"/>
      <c r="D17" s="42"/>
      <c r="E17" s="47" t="s">
        <v>121</v>
      </c>
      <c r="F17" s="46"/>
      <c r="G17" s="46"/>
    </row>
    <row r="18" spans="1:7" ht="45" x14ac:dyDescent="0.25">
      <c r="A18" s="32" t="s">
        <v>70</v>
      </c>
      <c r="B18" s="44" t="s">
        <v>7</v>
      </c>
      <c r="C18" s="44"/>
      <c r="D18" s="42"/>
      <c r="E18" s="47" t="s">
        <v>122</v>
      </c>
      <c r="F18" s="46"/>
      <c r="G18" s="46"/>
    </row>
    <row r="19" spans="1:7" x14ac:dyDescent="0.25">
      <c r="A19" s="32" t="s">
        <v>44</v>
      </c>
      <c r="B19" s="44" t="s">
        <v>7</v>
      </c>
      <c r="C19" s="44" t="s">
        <v>161</v>
      </c>
      <c r="D19" s="42"/>
      <c r="E19" s="47" t="s">
        <v>123</v>
      </c>
      <c r="F19" s="46"/>
      <c r="G19" s="46" t="s">
        <v>134</v>
      </c>
    </row>
    <row r="20" spans="1:7" x14ac:dyDescent="0.25">
      <c r="A20" s="32" t="s">
        <v>43</v>
      </c>
      <c r="B20" s="44" t="s">
        <v>7</v>
      </c>
      <c r="C20" s="44" t="s">
        <v>50</v>
      </c>
      <c r="D20" s="42"/>
      <c r="E20" s="47"/>
      <c r="F20" s="46"/>
      <c r="G20" s="46"/>
    </row>
    <row r="21" spans="1:7" ht="45" x14ac:dyDescent="0.25">
      <c r="A21" s="31" t="s">
        <v>46</v>
      </c>
      <c r="B21" s="44" t="s">
        <v>7</v>
      </c>
      <c r="C21" s="44" t="s">
        <v>161</v>
      </c>
      <c r="D21" s="43"/>
      <c r="E21" s="48" t="s">
        <v>124</v>
      </c>
      <c r="F21" s="46"/>
      <c r="G21" s="46" t="s">
        <v>134</v>
      </c>
    </row>
    <row r="22" spans="1:7" x14ac:dyDescent="0.25">
      <c r="A22" s="31" t="s">
        <v>73</v>
      </c>
      <c r="B22" s="44" t="s">
        <v>7</v>
      </c>
      <c r="C22" s="44" t="s">
        <v>161</v>
      </c>
      <c r="D22" s="43"/>
      <c r="E22" s="48" t="s">
        <v>125</v>
      </c>
      <c r="F22" s="46"/>
      <c r="G22" s="46"/>
    </row>
    <row r="23" spans="1:7" x14ac:dyDescent="0.25">
      <c r="A23" s="32" t="s">
        <v>51</v>
      </c>
      <c r="B23" s="44" t="s">
        <v>7</v>
      </c>
      <c r="C23" s="44" t="s">
        <v>161</v>
      </c>
      <c r="D23" s="42"/>
      <c r="E23" s="47" t="s">
        <v>123</v>
      </c>
      <c r="F23" s="46"/>
      <c r="G23" s="46" t="s">
        <v>134</v>
      </c>
    </row>
    <row r="24" spans="1:7" x14ac:dyDescent="0.25">
      <c r="A24" s="32" t="s">
        <v>53</v>
      </c>
      <c r="B24" s="44" t="s">
        <v>7</v>
      </c>
      <c r="C24" s="44"/>
      <c r="D24" s="42"/>
      <c r="E24" s="47" t="s">
        <v>126</v>
      </c>
      <c r="F24" s="46"/>
      <c r="G24" s="46"/>
    </row>
    <row r="25" spans="1:7" ht="30" x14ac:dyDescent="0.25">
      <c r="A25" s="33" t="s">
        <v>75</v>
      </c>
      <c r="B25" s="44" t="s">
        <v>7</v>
      </c>
      <c r="C25" s="44" t="s">
        <v>167</v>
      </c>
      <c r="D25" s="42"/>
      <c r="E25" s="47" t="s">
        <v>92</v>
      </c>
      <c r="F25" s="46"/>
      <c r="G25" s="46"/>
    </row>
    <row r="26" spans="1:7" x14ac:dyDescent="0.25">
      <c r="A26" s="33" t="s">
        <v>81</v>
      </c>
      <c r="B26" s="44" t="s">
        <v>7</v>
      </c>
      <c r="C26" s="44"/>
      <c r="D26" s="42"/>
      <c r="E26" s="47" t="s">
        <v>127</v>
      </c>
      <c r="F26" s="46"/>
      <c r="G26" s="46"/>
    </row>
    <row r="27" spans="1:7" x14ac:dyDescent="0.25">
      <c r="A27" s="33" t="s">
        <v>83</v>
      </c>
      <c r="B27" s="44" t="s">
        <v>7</v>
      </c>
      <c r="C27" s="44" t="s">
        <v>106</v>
      </c>
      <c r="D27" s="42"/>
      <c r="E27" s="47" t="s">
        <v>123</v>
      </c>
      <c r="F27" s="46"/>
      <c r="G27" s="46" t="s">
        <v>134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Parameterübersicht</vt:lpstr>
      <vt:lpstr>Fehler Vorformling</vt:lpstr>
      <vt:lpstr>Fehler Blasformteil</vt:lpstr>
      <vt:lpstr>Fehler</vt:lpstr>
      <vt:lpstr>Parameterzustände</vt:lpstr>
      <vt:lpstr>Maschinenparameter</vt:lpstr>
      <vt:lpstr>Manuelle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</dc:creator>
  <cp:lastModifiedBy>Julian</cp:lastModifiedBy>
  <dcterms:created xsi:type="dcterms:W3CDTF">2021-11-01T07:46:13Z</dcterms:created>
  <dcterms:modified xsi:type="dcterms:W3CDTF">2022-02-18T15:18:11Z</dcterms:modified>
</cp:coreProperties>
</file>